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ndromede\PROJETS\CARHO\data\"/>
    </mc:Choice>
  </mc:AlternateContent>
  <xr:revisionPtr revIDLastSave="0" documentId="8_{F81E1CEA-4188-4C57-BBFD-106666BDD5ED}" xr6:coauthVersionLast="47" xr6:coauthVersionMax="47" xr10:uidLastSave="{00000000-0000-0000-0000-000000000000}"/>
  <bookViews>
    <workbookView xWindow="-108" yWindow="-108" windowWidth="30936" windowHeight="16776" xr2:uid="{073338AD-9210-4889-A251-CC8A0D8E1CA7}"/>
  </bookViews>
  <sheets>
    <sheet name="observations in situ" sheetId="1" r:id="rId1"/>
    <sheet name="prelevements-epifaune" sheetId="2" r:id="rId2"/>
    <sheet name="prelevements-rhodolithes" sheetId="5" r:id="rId3"/>
    <sheet name="ADNe-poissons" sheetId="3" r:id="rId4"/>
    <sheet name="Synthes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2" l="1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E81" i="1"/>
  <c r="F81" i="1"/>
  <c r="G81" i="1"/>
  <c r="H81" i="1"/>
  <c r="I81" i="1"/>
  <c r="J81" i="1"/>
  <c r="K81" i="1"/>
  <c r="D81" i="1"/>
  <c r="E78" i="1"/>
  <c r="F78" i="1"/>
  <c r="G78" i="1"/>
  <c r="H78" i="1"/>
  <c r="I78" i="1"/>
  <c r="J78" i="1"/>
  <c r="K78" i="1"/>
  <c r="D78" i="1"/>
  <c r="E80" i="1"/>
  <c r="F80" i="1"/>
  <c r="G80" i="1"/>
  <c r="H80" i="1"/>
  <c r="I80" i="1"/>
  <c r="J80" i="1"/>
  <c r="K80" i="1"/>
  <c r="D80" i="1"/>
  <c r="E79" i="1"/>
  <c r="F79" i="1"/>
  <c r="G79" i="1"/>
  <c r="H79" i="1"/>
  <c r="I79" i="1"/>
  <c r="J79" i="1"/>
  <c r="K79" i="1"/>
  <c r="D79" i="1"/>
</calcChain>
</file>

<file path=xl/sharedStrings.xml><?xml version="1.0" encoding="utf-8"?>
<sst xmlns="http://schemas.openxmlformats.org/spreadsheetml/2006/main" count="1394" uniqueCount="484">
  <si>
    <t>R_PNMCCA_01</t>
  </si>
  <si>
    <t>R_PNMCCA_02</t>
  </si>
  <si>
    <t>R_PNMCCA_03</t>
  </si>
  <si>
    <t>R_PNMCCA_04</t>
  </si>
  <si>
    <t>R_PNMCCA_05</t>
  </si>
  <si>
    <t>R_PNMCCA_06</t>
  </si>
  <si>
    <t>R_PNMCCA_07</t>
  </si>
  <si>
    <t>R_PNMCCA_08</t>
  </si>
  <si>
    <t>Phorbas tenacior</t>
  </si>
  <si>
    <t>Haliclona sp.</t>
  </si>
  <si>
    <t>Cellaria sp.</t>
  </si>
  <si>
    <t>hydraires</t>
  </si>
  <si>
    <t>crustacé</t>
  </si>
  <si>
    <t>ophiure</t>
  </si>
  <si>
    <t>étoile de mer</t>
  </si>
  <si>
    <t>nudibranche</t>
  </si>
  <si>
    <t>cnidaire</t>
  </si>
  <si>
    <t>ascidie</t>
  </si>
  <si>
    <t>éponge</t>
  </si>
  <si>
    <t>poisson carnivore</t>
  </si>
  <si>
    <t>algue</t>
  </si>
  <si>
    <t xml:space="preserve">poisson </t>
  </si>
  <si>
    <t>bryozoaire</t>
  </si>
  <si>
    <t>algue invasive</t>
  </si>
  <si>
    <t>siphonophore</t>
  </si>
  <si>
    <t>poisson invertebrivore</t>
  </si>
  <si>
    <t>holothurie</t>
  </si>
  <si>
    <t>hydraire</t>
  </si>
  <si>
    <t>ver suspensivoe</t>
  </si>
  <si>
    <t>mollusque gastéropode</t>
  </si>
  <si>
    <t>oursin</t>
  </si>
  <si>
    <t>amphipode</t>
  </si>
  <si>
    <t>ver plat</t>
  </si>
  <si>
    <t>hétérobranche (mange ascidie, éponges)</t>
  </si>
  <si>
    <t>carnivore</t>
  </si>
  <si>
    <t>ver suspensivore</t>
  </si>
  <si>
    <t>cnidaire, narcoméduse</t>
  </si>
  <si>
    <t>12a (crustacés, etoiles de mer, nudibranches, cnidaires)</t>
  </si>
  <si>
    <t>Groupe</t>
  </si>
  <si>
    <t>9a- detritivores HOM (Holothuria spp., Bonellia viridis and Paguridea)</t>
  </si>
  <si>
    <t>9b- detritivores LOM (Spatangus purpureus, Echinaster sepositus, Gastropoda and Crustacea)</t>
  </si>
  <si>
    <t>10- filter- and suspension-feedes (Annelida, Ascidiacea, Bryozoa, Cnidaria, Porifera)</t>
  </si>
  <si>
    <t>Plongée = D, Photo et quadrats = P, photo ou video STEED = S</t>
  </si>
  <si>
    <t>D</t>
  </si>
  <si>
    <t>S</t>
  </si>
  <si>
    <t>Felimare picta</t>
  </si>
  <si>
    <t>Peltodoris atromaculata</t>
  </si>
  <si>
    <t>Felimare tricolor</t>
  </si>
  <si>
    <t>Antiopella cristata</t>
  </si>
  <si>
    <t>D, S</t>
  </si>
  <si>
    <t>Trachinus draco</t>
  </si>
  <si>
    <t>Coris julis</t>
  </si>
  <si>
    <t>Serranus cabrilla</t>
  </si>
  <si>
    <t>Gobius sp.</t>
  </si>
  <si>
    <t>s</t>
  </si>
  <si>
    <t>Nom commun</t>
  </si>
  <si>
    <t>Nom latin</t>
  </si>
  <si>
    <t xml:space="preserve">Béret basque </t>
  </si>
  <si>
    <t>Udotée</t>
  </si>
  <si>
    <t xml:space="preserve">Caulerpe raisin </t>
  </si>
  <si>
    <t>Phronime sédentaire</t>
  </si>
  <si>
    <t>ascidies</t>
  </si>
  <si>
    <t xml:space="preserve">Ascidies rouges </t>
  </si>
  <si>
    <t>Fraise de mer</t>
  </si>
  <si>
    <t xml:space="preserve">Bryozoaire bois de cerf </t>
  </si>
  <si>
    <t xml:space="preserve">Dentelle de Neptune </t>
  </si>
  <si>
    <t xml:space="preserve">Faux corail </t>
  </si>
  <si>
    <t xml:space="preserve">Hornère frondiculée </t>
  </si>
  <si>
    <t>Ponte de calmar</t>
  </si>
  <si>
    <t>Poulpe commun</t>
  </si>
  <si>
    <t>Anémone nénuphar</t>
  </si>
  <si>
    <t xml:space="preserve">Grand cerianthe </t>
  </si>
  <si>
    <t xml:space="preserve">Pennatule grise </t>
  </si>
  <si>
    <t xml:space="preserve">Solmissus </t>
  </si>
  <si>
    <t xml:space="preserve">Bernard l'hermite </t>
  </si>
  <si>
    <t xml:space="preserve">Cigale de mer naine </t>
  </si>
  <si>
    <t xml:space="preserve">Crevette des comatules </t>
  </si>
  <si>
    <t xml:space="preserve">Grandes araignées de Méditerranée </t>
  </si>
  <si>
    <t xml:space="preserve">Pagure timide </t>
  </si>
  <si>
    <t xml:space="preserve">Axinelle commune </t>
  </si>
  <si>
    <t xml:space="preserve">Chaline cendrée </t>
  </si>
  <si>
    <t xml:space="preserve">éponge cavernicole jaune </t>
  </si>
  <si>
    <t xml:space="preserve">Etoile de mer rouge </t>
  </si>
  <si>
    <t xml:space="preserve">Pleurobranche tortue </t>
  </si>
  <si>
    <t xml:space="preserve">Holothurie </t>
  </si>
  <si>
    <t xml:space="preserve">Holothurie jaune </t>
  </si>
  <si>
    <t xml:space="preserve">Lièvre de mer moucheté </t>
  </si>
  <si>
    <t xml:space="preserve">Grande Ranelle </t>
  </si>
  <si>
    <t xml:space="preserve">Aglaja ponctuée </t>
  </si>
  <si>
    <t xml:space="preserve">Flabelline blanche </t>
  </si>
  <si>
    <t xml:space="preserve">Comatule de Mediterranée </t>
  </si>
  <si>
    <t xml:space="preserve">Ophiure commune </t>
  </si>
  <si>
    <t xml:space="preserve">Oursin cœur </t>
  </si>
  <si>
    <t xml:space="preserve">Oursin diadème </t>
  </si>
  <si>
    <t xml:space="preserve">Oursin-lance gris </t>
  </si>
  <si>
    <t xml:space="preserve">Oursin-lance rouge </t>
  </si>
  <si>
    <t xml:space="preserve">Oursins granuleux </t>
  </si>
  <si>
    <t xml:space="preserve">Spatangue pourpre </t>
  </si>
  <si>
    <t xml:space="preserve">Blennie tentaculée </t>
  </si>
  <si>
    <t xml:space="preserve">baudroie </t>
  </si>
  <si>
    <t xml:space="preserve">Petite roussette </t>
  </si>
  <si>
    <t xml:space="preserve">Girelle commune </t>
  </si>
  <si>
    <t xml:space="preserve">Gobie de Lloris </t>
  </si>
  <si>
    <t xml:space="preserve">Gobie rayé </t>
  </si>
  <si>
    <t xml:space="preserve">Gobie trigloide </t>
  </si>
  <si>
    <t xml:space="preserve">Forskalie </t>
  </si>
  <si>
    <t xml:space="preserve">Planaire blanche </t>
  </si>
  <si>
    <t>Ver plat marron tacheté</t>
  </si>
  <si>
    <t xml:space="preserve">Lanice </t>
  </si>
  <si>
    <t xml:space="preserve">Salmacine de Dyster </t>
  </si>
  <si>
    <t>Salmacines</t>
  </si>
  <si>
    <t>Siphonophore fer à cheval</t>
  </si>
  <si>
    <t>Parablennius tentacularis</t>
  </si>
  <si>
    <t>Codium bursa</t>
  </si>
  <si>
    <t>Flabellia petiolata</t>
  </si>
  <si>
    <t>Caulerpa cylindracea</t>
  </si>
  <si>
    <t>Phronima sedentaria</t>
  </si>
  <si>
    <t>Microcosmus sp.</t>
  </si>
  <si>
    <t>Halocynthia papillosa</t>
  </si>
  <si>
    <t>Aplidium elegans</t>
  </si>
  <si>
    <t>Smittina cervicornis</t>
  </si>
  <si>
    <t>Repporella sp.</t>
  </si>
  <si>
    <t>Myriapora truncata</t>
  </si>
  <si>
    <t>Hornera frondiculata</t>
  </si>
  <si>
    <t xml:space="preserve"> Loligo sp.</t>
  </si>
  <si>
    <t xml:space="preserve"> Octopus vulgaris</t>
  </si>
  <si>
    <t>Phymanthus pulcher</t>
  </si>
  <si>
    <t>Cerianthus membranaceus</t>
  </si>
  <si>
    <t>Pteroeides griseum</t>
  </si>
  <si>
    <t>Pteroides spinosum</t>
  </si>
  <si>
    <t>Solmissus albescens</t>
  </si>
  <si>
    <t>Dardanus arrosor</t>
  </si>
  <si>
    <t>Scyllarus pygmaeus</t>
  </si>
  <si>
    <t>Hippolyte prideauxiana</t>
  </si>
  <si>
    <t>Maja squinado</t>
  </si>
  <si>
    <t>Cestopagurus timidus</t>
  </si>
  <si>
    <t>Axinella polypoides</t>
  </si>
  <si>
    <t>Haliclona cinerea</t>
  </si>
  <si>
    <t>Aplysina cavernicola</t>
  </si>
  <si>
    <t>Echinaster sepositus</t>
  </si>
  <si>
    <t>Pleurobranchus-testudinarius</t>
  </si>
  <si>
    <t>Holothuria sp.</t>
  </si>
  <si>
    <t>Parastichopus regalis</t>
  </si>
  <si>
    <t>Aplysia punctata</t>
  </si>
  <si>
    <t xml:space="preserve">Ranella olearium </t>
  </si>
  <si>
    <t>Aglaja tricolorata</t>
  </si>
  <si>
    <t>Luisella babai</t>
  </si>
  <si>
    <t>Antedon mediterranea</t>
  </si>
  <si>
    <t>Ophiura ophiura</t>
  </si>
  <si>
    <t>Echinocardium cordatum</t>
  </si>
  <si>
    <t>Centrostephanus longispinus</t>
  </si>
  <si>
    <t>Cidaris cidaris</t>
  </si>
  <si>
    <t>Stylocidaris affinis</t>
  </si>
  <si>
    <t>Sphaerechinus-granularis</t>
  </si>
  <si>
    <t>Spatangus purpureus</t>
  </si>
  <si>
    <t>Lophius piscatorius</t>
  </si>
  <si>
    <t>Scyliorhinus canicula</t>
  </si>
  <si>
    <t>Speleogobius llorisi</t>
  </si>
  <si>
    <t>Gobie de Steven Gobius gasteveni</t>
  </si>
  <si>
    <t>Gobius vitattus</t>
  </si>
  <si>
    <t>Speleogobius trigloides</t>
  </si>
  <si>
    <t>Forskalia spp.</t>
  </si>
  <si>
    <t>Prostheceraeus sp.</t>
  </si>
  <si>
    <t xml:space="preserve"> Pseudoceros maximus</t>
  </si>
  <si>
    <t>Lanice conchilega</t>
  </si>
  <si>
    <t>Salmacina dysteri</t>
  </si>
  <si>
    <t xml:space="preserve"> Salmacina sp. ou Filograna sp.</t>
  </si>
  <si>
    <t>Hippopodius hippopus</t>
  </si>
  <si>
    <t xml:space="preserve">Inachus communissimus </t>
  </si>
  <si>
    <t xml:space="preserve">Marthasterias glacialis </t>
  </si>
  <si>
    <t xml:space="preserve">Holothuria tubulosa </t>
  </si>
  <si>
    <t xml:space="preserve">Holothuria forskali </t>
  </si>
  <si>
    <t xml:space="preserve">Sabella spallanzanii </t>
  </si>
  <si>
    <t>Taxonomic group</t>
  </si>
  <si>
    <t>Life habit</t>
  </si>
  <si>
    <t>Species</t>
  </si>
  <si>
    <t>CH-5-1</t>
  </si>
  <si>
    <t>CH-5-2</t>
  </si>
  <si>
    <t>CH-5-3</t>
  </si>
  <si>
    <t>CH-8-1</t>
  </si>
  <si>
    <t>CH-8-2</t>
  </si>
  <si>
    <t>CH-8-3</t>
  </si>
  <si>
    <t>CH-1-1</t>
  </si>
  <si>
    <t>CH-1-2</t>
  </si>
  <si>
    <t>CH-1-3</t>
  </si>
  <si>
    <t>CH-3-1</t>
  </si>
  <si>
    <t>CH-3-2</t>
  </si>
  <si>
    <t>CH-3-3</t>
  </si>
  <si>
    <t>CH-2-1</t>
  </si>
  <si>
    <t>CH-2-2</t>
  </si>
  <si>
    <t>CH-2-3</t>
  </si>
  <si>
    <t>CH-4-1</t>
  </si>
  <si>
    <t>CH-4-2</t>
  </si>
  <si>
    <t>CH-4-3</t>
  </si>
  <si>
    <t>CH-6-1</t>
  </si>
  <si>
    <t>CH-6-2</t>
  </si>
  <si>
    <t>CH-6-3</t>
  </si>
  <si>
    <t>CH-7-1</t>
  </si>
  <si>
    <t>CH-7-2</t>
  </si>
  <si>
    <t>CH-7-3</t>
  </si>
  <si>
    <t>Foraminifera</t>
  </si>
  <si>
    <t>Epifauna (cemented)</t>
  </si>
  <si>
    <t>Miniacina miniacea</t>
  </si>
  <si>
    <t>x</t>
  </si>
  <si>
    <t>Epifauna (vagile or cemented)</t>
  </si>
  <si>
    <t>Foraminifera ind</t>
  </si>
  <si>
    <t>Bryozoa</t>
  </si>
  <si>
    <t>Epifauna (encrusting)</t>
  </si>
  <si>
    <t>Bugula neritina</t>
  </si>
  <si>
    <t>Celleporina sp.</t>
  </si>
  <si>
    <t>Reteporella sp. 1</t>
  </si>
  <si>
    <t>Reteporella sp. 2</t>
  </si>
  <si>
    <t>Aplousina sp.</t>
  </si>
  <si>
    <t>Bryozoa sp.1</t>
  </si>
  <si>
    <t>Bryozoa sp.2</t>
  </si>
  <si>
    <t>Bryozoa sp.3</t>
  </si>
  <si>
    <t>Bryozoa sp.4</t>
  </si>
  <si>
    <t xml:space="preserve">Bryozoa sp.5 </t>
  </si>
  <si>
    <t>Bryozoa sp.6</t>
  </si>
  <si>
    <t>Mollusca Gastropoda</t>
  </si>
  <si>
    <t>Epifauna (vagile)</t>
  </si>
  <si>
    <t>Calyptraea chinensis</t>
  </si>
  <si>
    <t>Vermetus triquetrus</t>
  </si>
  <si>
    <t>Vermetus sp.</t>
  </si>
  <si>
    <t>Mollusca Bivalvia</t>
  </si>
  <si>
    <t>Acmaea virginea</t>
  </si>
  <si>
    <t>Epifauna (byssally attached)</t>
  </si>
  <si>
    <t>Striarca lactea</t>
  </si>
  <si>
    <t>Heteranomia squamula</t>
  </si>
  <si>
    <t>Modiolus sp.</t>
  </si>
  <si>
    <t>Chama gryphoides</t>
  </si>
  <si>
    <t>Endofauna (rock-borer)</t>
  </si>
  <si>
    <t>Rocellaria dubia</t>
  </si>
  <si>
    <t>Mollusca Polyplacophora</t>
  </si>
  <si>
    <t>Polyplacophora sp. (juvenile)</t>
  </si>
  <si>
    <t>Brachiopoda</t>
  </si>
  <si>
    <t>Epifauna (pedunculated)</t>
  </si>
  <si>
    <t>Argyrotheca cuneata</t>
  </si>
  <si>
    <t>Joania cordata</t>
  </si>
  <si>
    <t>Annelida</t>
  </si>
  <si>
    <t xml:space="preserve">Serpulidae sp.1 </t>
  </si>
  <si>
    <t xml:space="preserve">Serpulidae sp.2 </t>
  </si>
  <si>
    <t xml:space="preserve">Serpulidae sp.3 </t>
  </si>
  <si>
    <t xml:space="preserve">Serpulidae sp.4 </t>
  </si>
  <si>
    <t>Annelida ind.1</t>
  </si>
  <si>
    <t>Annelida ind. 2</t>
  </si>
  <si>
    <t>Porifera</t>
  </si>
  <si>
    <t>unidentified sponge</t>
  </si>
  <si>
    <t>Lithothamnion minervae</t>
  </si>
  <si>
    <t>Lithothamnion cf. minervae</t>
  </si>
  <si>
    <t>Lithothmnion sp. 1</t>
  </si>
  <si>
    <t>Lithothamnion sp.2</t>
  </si>
  <si>
    <t>Lithothamnion sp. 3</t>
  </si>
  <si>
    <t>Boreolithothamnion Corallioides</t>
  </si>
  <si>
    <t>Boreolithothamnion cf. corallioides</t>
  </si>
  <si>
    <t>Lithothamnion valens</t>
  </si>
  <si>
    <t>Lithophyllum racemus</t>
  </si>
  <si>
    <t>Lithophyllum stictiforme</t>
  </si>
  <si>
    <t>Lythophyllum nitorum</t>
  </si>
  <si>
    <t>Spongites fruticulosus</t>
  </si>
  <si>
    <t>Spongites(?) sp.</t>
  </si>
  <si>
    <t>?5</t>
  </si>
  <si>
    <t>Roseolithon crispatum</t>
  </si>
  <si>
    <t>Roseolithon sp.</t>
  </si>
  <si>
    <t>Phymatolithon calcareum</t>
  </si>
  <si>
    <t>Phymatolithon lusitanicum</t>
  </si>
  <si>
    <t xml:space="preserve">Phymatolithon sp. 1 </t>
  </si>
  <si>
    <t>? Polystrata</t>
  </si>
  <si>
    <t>Mesophyllum sp.</t>
  </si>
  <si>
    <t xml:space="preserve">Corallinophycidae ind. 1 </t>
  </si>
  <si>
    <t xml:space="preserve">Corallinophycidae ind. 2 </t>
  </si>
  <si>
    <t>Corallinophycidae ind. 3</t>
  </si>
  <si>
    <t>Corallinophycidae ind. 4</t>
  </si>
  <si>
    <t>Corallinophycidae ind. 5</t>
  </si>
  <si>
    <t>Corallinophycidae ind. 6</t>
  </si>
  <si>
    <t>Corallinophycidae ind. 7</t>
  </si>
  <si>
    <t>Corallinophycidae ind. 8</t>
  </si>
  <si>
    <t>Corallinophycidae ind. 9</t>
  </si>
  <si>
    <t>peyssoneliaceae</t>
  </si>
  <si>
    <t>Corallinales ind.</t>
  </si>
  <si>
    <t>PNMCCA_03</t>
  </si>
  <si>
    <t>PNMCCA_05</t>
  </si>
  <si>
    <t>PNMCCA_04</t>
  </si>
  <si>
    <t>PNMCCA_06</t>
  </si>
  <si>
    <t>PNMCCA_01</t>
  </si>
  <si>
    <t>PNMCCA_07</t>
  </si>
  <si>
    <t>PNMCCA_08</t>
  </si>
  <si>
    <t>PNMCCA_02</t>
  </si>
  <si>
    <t>Species ID</t>
  </si>
  <si>
    <t>Species cover</t>
  </si>
  <si>
    <t>Project</t>
  </si>
  <si>
    <t>SC24209-Andromede</t>
  </si>
  <si>
    <t>region</t>
  </si>
  <si>
    <t>CORSE</t>
  </si>
  <si>
    <t>site_code</t>
  </si>
  <si>
    <t>R_PNMCCA 01</t>
  </si>
  <si>
    <t>R_PNMCCA 02</t>
  </si>
  <si>
    <t>R_PNMCCA 03</t>
  </si>
  <si>
    <t>R_PNMCCA 04</t>
  </si>
  <si>
    <t>R_PNMCCA 05</t>
  </si>
  <si>
    <t>R_PNMCCA 06</t>
  </si>
  <si>
    <t>R_PNMCCA 07</t>
  </si>
  <si>
    <t>R_PNMCCA 08</t>
  </si>
  <si>
    <t>country</t>
  </si>
  <si>
    <t>France</t>
  </si>
  <si>
    <t>date</t>
  </si>
  <si>
    <t>sample</t>
  </si>
  <si>
    <t>SPY2405338</t>
  </si>
  <si>
    <t>SPY2405346</t>
  </si>
  <si>
    <t>SPY2405336</t>
  </si>
  <si>
    <t>SPY2405344</t>
  </si>
  <si>
    <t>SPY2405343</t>
  </si>
  <si>
    <t>SPY2405349</t>
  </si>
  <si>
    <t>SPY2405339</t>
  </si>
  <si>
    <t>SPY2405347</t>
  </si>
  <si>
    <t>SPY2405335</t>
  </si>
  <si>
    <t>SPY2405342</t>
  </si>
  <si>
    <t>SPY2405340</t>
  </si>
  <si>
    <t>SPY2405348</t>
  </si>
  <si>
    <t>SPY2405337</t>
  </si>
  <si>
    <t>SPY2405345</t>
  </si>
  <si>
    <t>SPY2405334</t>
  </si>
  <si>
    <t>SPY2405341</t>
  </si>
  <si>
    <t>class</t>
  </si>
  <si>
    <t>order</t>
  </si>
  <si>
    <t>family</t>
  </si>
  <si>
    <t>scientific_name</t>
  </si>
  <si>
    <t>db</t>
  </si>
  <si>
    <t>nb_rep</t>
  </si>
  <si>
    <t>nb_seq</t>
  </si>
  <si>
    <t>Actinopteri</t>
  </si>
  <si>
    <t>Anguilliformes</t>
  </si>
  <si>
    <t>Congridae</t>
  </si>
  <si>
    <t>Conger conger</t>
  </si>
  <si>
    <t>MED_2023</t>
  </si>
  <si>
    <t>Muraenidae</t>
  </si>
  <si>
    <t>Muraena helena</t>
  </si>
  <si>
    <t>Ophichthidae</t>
  </si>
  <si>
    <t>Ophisurus sp.</t>
  </si>
  <si>
    <t>GenBank_v247</t>
  </si>
  <si>
    <t>Aulopiformes</t>
  </si>
  <si>
    <t>Synodontidae</t>
  </si>
  <si>
    <t>Synodus saurus</t>
  </si>
  <si>
    <t>Beloniformes</t>
  </si>
  <si>
    <t>Belonidae</t>
  </si>
  <si>
    <t>Belone belone</t>
  </si>
  <si>
    <t>Blenniiformes</t>
  </si>
  <si>
    <t>Blenniidae</t>
  </si>
  <si>
    <t>Blennius ocellaris</t>
  </si>
  <si>
    <t>Parablennius rouxi</t>
  </si>
  <si>
    <t>Carangiformes</t>
  </si>
  <si>
    <t>Carangidae</t>
  </si>
  <si>
    <t>Seriola dumerili</t>
  </si>
  <si>
    <t>Trachurus picturatus</t>
  </si>
  <si>
    <t>Trachurus_mediterraneus_T_trachurus</t>
  </si>
  <si>
    <t>Clupeiformes</t>
  </si>
  <si>
    <t>Clupeidae</t>
  </si>
  <si>
    <t>Sardina pilchardus</t>
  </si>
  <si>
    <t>Sardinella aurita</t>
  </si>
  <si>
    <t>Gadiformes</t>
  </si>
  <si>
    <t>Gadidae</t>
  </si>
  <si>
    <t>Trisopterus capelanus</t>
  </si>
  <si>
    <t>Merlucciidae</t>
  </si>
  <si>
    <t>Merluccius merluccius</t>
  </si>
  <si>
    <t>Gobiiformes</t>
  </si>
  <si>
    <t>Gobiidae</t>
  </si>
  <si>
    <t>Buenia affinis</t>
  </si>
  <si>
    <t>Corcyrogobius liechtensteini</t>
  </si>
  <si>
    <t>Crystallogobius linearis</t>
  </si>
  <si>
    <t>Deltentosteus collonianus</t>
  </si>
  <si>
    <t>Gobius geniporus</t>
  </si>
  <si>
    <t>Lebetus guilleti</t>
  </si>
  <si>
    <t>Odondebuenia balearica</t>
  </si>
  <si>
    <t>Pseudaphya ferreri</t>
  </si>
  <si>
    <t>Istiophoriformes</t>
  </si>
  <si>
    <t>Xiphiidae</t>
  </si>
  <si>
    <t>Xiphias gladius</t>
  </si>
  <si>
    <t>Labriformes</t>
  </si>
  <si>
    <t>Labridae</t>
  </si>
  <si>
    <t>Labrus_merula_L_viridis_C_melanocernus</t>
  </si>
  <si>
    <t>Symphodus sp.</t>
  </si>
  <si>
    <t>Lophiiformes</t>
  </si>
  <si>
    <t>Lophiidae</t>
  </si>
  <si>
    <t>Lophius budegassa</t>
  </si>
  <si>
    <t>Myctophiformes</t>
  </si>
  <si>
    <t>Myctophidae</t>
  </si>
  <si>
    <t>Ceratoscopelus maderensis</t>
  </si>
  <si>
    <t>Myctophum punctatum</t>
  </si>
  <si>
    <t>Perciformes</t>
  </si>
  <si>
    <t>Scorpaenidae</t>
  </si>
  <si>
    <t>Scorpaena notata</t>
  </si>
  <si>
    <t>Scorpaena porcus</t>
  </si>
  <si>
    <t>Scorpaena scrofa</t>
  </si>
  <si>
    <t>Scorpaena sp.</t>
  </si>
  <si>
    <t>Serranidae</t>
  </si>
  <si>
    <t>Anthias anthias</t>
  </si>
  <si>
    <t>Epinephelus aeneus</t>
  </si>
  <si>
    <t>Epinephelus marginatus</t>
  </si>
  <si>
    <t>Serranus hepatus</t>
  </si>
  <si>
    <t>Serranus scriba</t>
  </si>
  <si>
    <t>Trachinidae</t>
  </si>
  <si>
    <t>Triglidae</t>
  </si>
  <si>
    <t>C. lucerna_L. dieuzeidei</t>
  </si>
  <si>
    <t>C. obscurus_T. lastoviza</t>
  </si>
  <si>
    <t>Chelidonichthys cuculus</t>
  </si>
  <si>
    <t>Pleuronectiformes</t>
  </si>
  <si>
    <t>Bothidae</t>
  </si>
  <si>
    <t>Bothus podas</t>
  </si>
  <si>
    <t>Scombriformes</t>
  </si>
  <si>
    <t>Scombridae</t>
  </si>
  <si>
    <t>Auxis sp.</t>
  </si>
  <si>
    <t>Euthynnus alletteratus</t>
  </si>
  <si>
    <t>Scomber colias</t>
  </si>
  <si>
    <t>Thunnus thynnus</t>
  </si>
  <si>
    <t>Tetragonuridae</t>
  </si>
  <si>
    <t>Tetragonurus cuvieri</t>
  </si>
  <si>
    <t>Spariformes</t>
  </si>
  <si>
    <t>Centracanthidae</t>
  </si>
  <si>
    <t>Spicara maena</t>
  </si>
  <si>
    <t>Spicara_eDNA</t>
  </si>
  <si>
    <t>Sparidae</t>
  </si>
  <si>
    <t>Boops boops</t>
  </si>
  <si>
    <t>D. dentex_P. auriga_P. pagrus</t>
  </si>
  <si>
    <t>Diplodus annularis</t>
  </si>
  <si>
    <t>Diplodus sargus</t>
  </si>
  <si>
    <t>Diplodus vulgaris</t>
  </si>
  <si>
    <t>Oblada melanura</t>
  </si>
  <si>
    <t>Pagellus acarne</t>
  </si>
  <si>
    <t>Pagellus bogaraveo</t>
  </si>
  <si>
    <t>Pagellus erythrinus</t>
  </si>
  <si>
    <t>Sarpa salpa</t>
  </si>
  <si>
    <t>Spondyliosoma cantharus</t>
  </si>
  <si>
    <t>Stomiiformes</t>
  </si>
  <si>
    <t>Sternoptychidae</t>
  </si>
  <si>
    <t>Maurolicus muelleri</t>
  </si>
  <si>
    <t>Syngnathiformes</t>
  </si>
  <si>
    <t>Mullidae</t>
  </si>
  <si>
    <t>Mullus surmuletus</t>
  </si>
  <si>
    <t>Syngnathidae</t>
  </si>
  <si>
    <t>Syngnathus acus</t>
  </si>
  <si>
    <t>Tetraodontiformes</t>
  </si>
  <si>
    <t>Molidae</t>
  </si>
  <si>
    <t>Mola mola</t>
  </si>
  <si>
    <t>Uranoscopiformes</t>
  </si>
  <si>
    <t>Uranoscopidae</t>
  </si>
  <si>
    <t>Uranoscopus scaber</t>
  </si>
  <si>
    <t>Zeiformes</t>
  </si>
  <si>
    <t>Zeidae</t>
  </si>
  <si>
    <t>Zeus faber</t>
  </si>
  <si>
    <t>(vide)</t>
  </si>
  <si>
    <t>Pomacentridae</t>
  </si>
  <si>
    <t>Chromis chromis</t>
  </si>
  <si>
    <t>Sciaenidae</t>
  </si>
  <si>
    <t>Sciaena umbra</t>
  </si>
  <si>
    <t>Sphyraenidae</t>
  </si>
  <si>
    <t>Sphyraena viridensis</t>
  </si>
  <si>
    <t>Chondrichthyes</t>
  </si>
  <si>
    <t>Carcharhiniformes</t>
  </si>
  <si>
    <t>Scyliorhinidae</t>
  </si>
  <si>
    <t>Scyliorhinus stellaris</t>
  </si>
  <si>
    <t>Myliobatiformes</t>
  </si>
  <si>
    <t>Dasyatidae</t>
  </si>
  <si>
    <t>Bathytoshia sp.</t>
  </si>
  <si>
    <t>Dasyatis marmorata</t>
  </si>
  <si>
    <t>Dasyatis pastinaca</t>
  </si>
  <si>
    <t>Myliobatidae</t>
  </si>
  <si>
    <t>Aetomylaeus bovinus</t>
  </si>
  <si>
    <t>Myliobatis aquila</t>
  </si>
  <si>
    <t>Rajiformes</t>
  </si>
  <si>
    <t>Rajidae</t>
  </si>
  <si>
    <t>Raja_asterias_R_clavata_R_polystigma</t>
  </si>
  <si>
    <t>Rostroraja alba</t>
  </si>
  <si>
    <t>Squaliformes</t>
  </si>
  <si>
    <t>Squalidae</t>
  </si>
  <si>
    <t>Squalus blainville</t>
  </si>
  <si>
    <t>Torpediniformes</t>
  </si>
  <si>
    <t>Torpedinidae</t>
  </si>
  <si>
    <t>Tetronarce nobiliana</t>
  </si>
  <si>
    <t>Torpedo marmorata</t>
  </si>
  <si>
    <t>nom commun</t>
  </si>
  <si>
    <t>classe</t>
  </si>
  <si>
    <t>ordre</t>
  </si>
  <si>
    <t>famille</t>
  </si>
  <si>
    <t>nom scientifique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</si>
</sst>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rgb="FF083D63"/>
      <name val="DINOT-Regular"/>
    </font>
    <font>
      <i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color rgb="FFFF0000"/>
      <name val="Calibri"/>
      <family val="2"/>
    </font>
    <font>
      <i/>
      <sz val="10"/>
      <color rgb="FFFF0000"/>
      <name val="DINOT-Regular"/>
    </font>
    <font>
      <i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0" fillId="3" borderId="0" xfId="0" applyFill="1"/>
    <xf numFmtId="0" fontId="3" fillId="0" borderId="0" xfId="0" applyFont="1"/>
    <xf numFmtId="0" fontId="3" fillId="3" borderId="0" xfId="0" applyFont="1" applyFill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3" fillId="0" borderId="1" xfId="0" applyFont="1" applyBorder="1"/>
    <xf numFmtId="0" fontId="8" fillId="3" borderId="1" xfId="0" applyFont="1" applyFill="1" applyBorder="1"/>
    <xf numFmtId="0" fontId="3" fillId="3" borderId="1" xfId="0" applyFont="1" applyFill="1" applyBorder="1"/>
    <xf numFmtId="0" fontId="8" fillId="0" borderId="0" xfId="0" applyFont="1"/>
    <xf numFmtId="0" fontId="3" fillId="0" borderId="0" xfId="0" applyFont="1" applyBorder="1"/>
    <xf numFmtId="0" fontId="3" fillId="0" borderId="2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9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7" fillId="0" borderId="1" xfId="0" applyFont="1" applyBorder="1"/>
    <xf numFmtId="0" fontId="10" fillId="0" borderId="2" xfId="0" applyFont="1" applyFill="1" applyBorder="1"/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0" borderId="3" xfId="0" applyFont="1" applyBorder="1"/>
    <xf numFmtId="0" fontId="12" fillId="0" borderId="4" xfId="0" applyFont="1" applyBorder="1"/>
    <xf numFmtId="0" fontId="11" fillId="0" borderId="2" xfId="0" applyFont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0" borderId="1" xfId="0" applyFont="1" applyBorder="1"/>
    <xf numFmtId="0" fontId="12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2" fillId="0" borderId="8" xfId="0" applyFont="1" applyBorder="1"/>
    <xf numFmtId="0" fontId="11" fillId="0" borderId="7" xfId="0" applyFont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center" vertical="center" wrapText="1"/>
    </xf>
    <xf numFmtId="0" fontId="0" fillId="0" borderId="9" xfId="0" applyBorder="1"/>
    <xf numFmtId="0" fontId="0" fillId="0" borderId="4" xfId="0" applyBorder="1"/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0" fillId="0" borderId="11" xfId="0" applyBorder="1"/>
    <xf numFmtId="164" fontId="0" fillId="0" borderId="10" xfId="1" applyNumberFormat="1" applyFont="1" applyBorder="1"/>
    <xf numFmtId="164" fontId="0" fillId="0" borderId="12" xfId="1" applyNumberFormat="1" applyFont="1" applyBorder="1"/>
    <xf numFmtId="0" fontId="6" fillId="0" borderId="13" xfId="0" applyFon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6" fillId="0" borderId="15" xfId="0" applyFont="1" applyBorder="1"/>
    <xf numFmtId="0" fontId="6" fillId="0" borderId="16" xfId="0" applyFont="1" applyBorder="1"/>
    <xf numFmtId="0" fontId="0" fillId="0" borderId="16" xfId="0" applyBorder="1"/>
    <xf numFmtId="164" fontId="0" fillId="0" borderId="15" xfId="1" applyNumberFormat="1" applyFont="1" applyBorder="1"/>
    <xf numFmtId="164" fontId="0" fillId="0" borderId="17" xfId="1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5388-C0B7-4C9B-9729-F5E8CACC8767}">
  <dimension ref="A1:K81"/>
  <sheetViews>
    <sheetView tabSelected="1" topLeftCell="A43" workbookViewId="0">
      <selection activeCell="D54" sqref="D54"/>
    </sheetView>
  </sheetViews>
  <sheetFormatPr baseColWidth="10" defaultRowHeight="13.8"/>
  <cols>
    <col min="1" max="2" width="17.3984375" customWidth="1"/>
    <col min="3" max="3" width="22.5" customWidth="1"/>
    <col min="4" max="12" width="12.8984375" customWidth="1"/>
  </cols>
  <sheetData>
    <row r="1" spans="1:11">
      <c r="A1" s="4"/>
      <c r="B1" s="4"/>
      <c r="C1" s="4"/>
      <c r="D1" s="5" t="s">
        <v>42</v>
      </c>
      <c r="E1" s="5"/>
      <c r="F1" s="5"/>
      <c r="G1" s="5"/>
      <c r="H1" s="5"/>
      <c r="I1" s="5"/>
      <c r="J1" s="5"/>
      <c r="K1" s="5"/>
    </row>
    <row r="2" spans="1:11">
      <c r="A2" s="6" t="s">
        <v>38</v>
      </c>
      <c r="B2" s="6" t="s">
        <v>55</v>
      </c>
      <c r="C2" s="6" t="s">
        <v>56</v>
      </c>
      <c r="D2" s="6" t="s">
        <v>0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</row>
    <row r="3" spans="1:11" ht="14.4">
      <c r="A3" s="4" t="s">
        <v>20</v>
      </c>
      <c r="B3" s="4" t="s">
        <v>57</v>
      </c>
      <c r="C3" s="14" t="s">
        <v>113</v>
      </c>
      <c r="D3" s="4" t="s">
        <v>43</v>
      </c>
      <c r="E3" s="4"/>
      <c r="F3" s="4"/>
      <c r="G3" s="4"/>
      <c r="H3" s="4"/>
      <c r="I3" s="4"/>
      <c r="J3" s="4"/>
      <c r="K3" s="4"/>
    </row>
    <row r="4" spans="1:11" ht="14.4">
      <c r="A4" s="4" t="s">
        <v>20</v>
      </c>
      <c r="B4" s="4" t="s">
        <v>58</v>
      </c>
      <c r="C4" s="14" t="s">
        <v>114</v>
      </c>
      <c r="D4" s="4"/>
      <c r="E4" s="4"/>
      <c r="F4" s="4"/>
      <c r="G4" s="4"/>
      <c r="H4" s="4"/>
      <c r="I4" s="4" t="s">
        <v>43</v>
      </c>
      <c r="J4" s="4"/>
      <c r="K4" s="4"/>
    </row>
    <row r="5" spans="1:11" ht="14.4">
      <c r="A5" s="4" t="s">
        <v>23</v>
      </c>
      <c r="B5" s="4" t="s">
        <v>59</v>
      </c>
      <c r="C5" s="14" t="s">
        <v>115</v>
      </c>
      <c r="D5" s="4"/>
      <c r="E5" s="4"/>
      <c r="F5" s="4" t="s">
        <v>43</v>
      </c>
      <c r="G5" s="4"/>
      <c r="H5" s="4"/>
      <c r="I5" s="4"/>
      <c r="J5" s="4"/>
      <c r="K5" s="4"/>
    </row>
    <row r="6" spans="1:11" ht="14.4">
      <c r="A6" s="4" t="s">
        <v>31</v>
      </c>
      <c r="B6" s="4" t="s">
        <v>60</v>
      </c>
      <c r="C6" s="14" t="s">
        <v>116</v>
      </c>
      <c r="D6" s="4"/>
      <c r="E6" s="4"/>
      <c r="F6" s="4"/>
      <c r="G6" s="4"/>
      <c r="H6" s="4"/>
      <c r="I6" s="4" t="s">
        <v>43</v>
      </c>
      <c r="J6" s="4"/>
      <c r="K6" s="4"/>
    </row>
    <row r="7" spans="1:11" ht="14.4">
      <c r="A7" s="4" t="s">
        <v>17</v>
      </c>
      <c r="B7" s="4" t="s">
        <v>61</v>
      </c>
      <c r="C7" s="14" t="s">
        <v>117</v>
      </c>
      <c r="D7" s="4"/>
      <c r="E7" s="4"/>
      <c r="F7" s="4" t="s">
        <v>43</v>
      </c>
      <c r="G7" s="4"/>
      <c r="H7" s="4"/>
      <c r="I7" s="4"/>
      <c r="J7" s="4"/>
      <c r="K7" s="4"/>
    </row>
    <row r="8" spans="1:11" ht="14.4">
      <c r="A8" s="4" t="s">
        <v>17</v>
      </c>
      <c r="B8" s="4" t="s">
        <v>62</v>
      </c>
      <c r="C8" s="14" t="s">
        <v>118</v>
      </c>
      <c r="D8" s="4"/>
      <c r="E8" s="4"/>
      <c r="F8" s="4" t="s">
        <v>43</v>
      </c>
      <c r="G8" s="4"/>
      <c r="H8" s="4"/>
      <c r="I8" s="4"/>
      <c r="J8" s="4"/>
      <c r="K8" s="4"/>
    </row>
    <row r="9" spans="1:11" ht="14.4">
      <c r="A9" s="4" t="s">
        <v>17</v>
      </c>
      <c r="B9" s="4" t="s">
        <v>63</v>
      </c>
      <c r="C9" s="14" t="s">
        <v>119</v>
      </c>
      <c r="D9" s="4"/>
      <c r="E9" s="4"/>
      <c r="F9" s="4"/>
      <c r="G9" s="4" t="s">
        <v>43</v>
      </c>
      <c r="H9" s="4"/>
      <c r="I9" s="4"/>
      <c r="J9" s="4"/>
      <c r="K9" s="4"/>
    </row>
    <row r="10" spans="1:11" s="1" customFormat="1" ht="14.4">
      <c r="A10" s="4" t="s">
        <v>22</v>
      </c>
      <c r="B10" s="4" t="s">
        <v>64</v>
      </c>
      <c r="C10" s="14" t="s">
        <v>120</v>
      </c>
      <c r="D10" s="4"/>
      <c r="E10" s="4"/>
      <c r="F10" s="4"/>
      <c r="G10" s="4"/>
      <c r="H10" s="4"/>
      <c r="I10" s="4" t="s">
        <v>43</v>
      </c>
      <c r="J10" s="4" t="s">
        <v>43</v>
      </c>
      <c r="K10" s="4" t="s">
        <v>43</v>
      </c>
    </row>
    <row r="11" spans="1:11" ht="14.4">
      <c r="A11" s="4" t="s">
        <v>22</v>
      </c>
      <c r="B11" s="4"/>
      <c r="C11" s="14" t="s">
        <v>10</v>
      </c>
      <c r="D11" s="4"/>
      <c r="E11" s="4"/>
      <c r="F11" s="4"/>
      <c r="G11" s="4"/>
      <c r="H11" s="4"/>
      <c r="I11" s="4"/>
      <c r="J11" s="4" t="s">
        <v>43</v>
      </c>
      <c r="K11" s="4"/>
    </row>
    <row r="12" spans="1:11" ht="14.4">
      <c r="A12" s="4" t="s">
        <v>22</v>
      </c>
      <c r="B12" s="4" t="s">
        <v>65</v>
      </c>
      <c r="C12" s="14" t="s">
        <v>121</v>
      </c>
      <c r="D12" s="4"/>
      <c r="E12" s="4"/>
      <c r="F12" s="4"/>
      <c r="G12" s="4"/>
      <c r="H12" s="4"/>
      <c r="I12" s="4"/>
      <c r="J12" s="4"/>
      <c r="K12" s="4" t="s">
        <v>43</v>
      </c>
    </row>
    <row r="13" spans="1:11" ht="14.4">
      <c r="A13" s="4" t="s">
        <v>22</v>
      </c>
      <c r="B13" s="4" t="s">
        <v>66</v>
      </c>
      <c r="C13" s="14" t="s">
        <v>122</v>
      </c>
      <c r="D13" s="4"/>
      <c r="E13" s="4"/>
      <c r="F13" s="4"/>
      <c r="G13" s="4"/>
      <c r="H13" s="4" t="s">
        <v>43</v>
      </c>
      <c r="I13" s="4"/>
      <c r="J13" s="4"/>
      <c r="K13" s="4" t="s">
        <v>43</v>
      </c>
    </row>
    <row r="14" spans="1:11" ht="14.4">
      <c r="A14" s="4" t="s">
        <v>22</v>
      </c>
      <c r="B14" s="4" t="s">
        <v>67</v>
      </c>
      <c r="C14" s="14" t="s">
        <v>123</v>
      </c>
      <c r="D14" s="4"/>
      <c r="E14" s="4"/>
      <c r="F14" s="4"/>
      <c r="G14" s="4"/>
      <c r="H14" s="4"/>
      <c r="I14" s="4"/>
      <c r="J14" s="4"/>
      <c r="K14" s="4" t="s">
        <v>43</v>
      </c>
    </row>
    <row r="15" spans="1:11" ht="14.4">
      <c r="A15" s="4" t="s">
        <v>34</v>
      </c>
      <c r="B15" s="4" t="s">
        <v>68</v>
      </c>
      <c r="C15" s="14" t="s">
        <v>124</v>
      </c>
      <c r="D15" s="4"/>
      <c r="E15" s="4"/>
      <c r="F15" s="4"/>
      <c r="G15" s="8" t="s">
        <v>44</v>
      </c>
      <c r="H15" s="4"/>
      <c r="I15" s="4"/>
      <c r="J15" s="4" t="s">
        <v>43</v>
      </c>
      <c r="K15" s="4"/>
    </row>
    <row r="16" spans="1:11" s="1" customFormat="1" ht="14.4">
      <c r="A16" s="4" t="s">
        <v>34</v>
      </c>
      <c r="B16" s="4" t="s">
        <v>69</v>
      </c>
      <c r="C16" s="14" t="s">
        <v>125</v>
      </c>
      <c r="D16" s="4" t="s">
        <v>43</v>
      </c>
      <c r="E16" s="4"/>
      <c r="F16" s="4" t="s">
        <v>43</v>
      </c>
      <c r="G16" s="4" t="s">
        <v>43</v>
      </c>
      <c r="H16" s="4"/>
      <c r="I16" s="4"/>
      <c r="J16" s="4"/>
      <c r="K16" s="4"/>
    </row>
    <row r="17" spans="1:11" s="1" customFormat="1" ht="14.4">
      <c r="A17" s="4" t="s">
        <v>16</v>
      </c>
      <c r="B17" s="4" t="s">
        <v>70</v>
      </c>
      <c r="C17" s="14" t="s">
        <v>126</v>
      </c>
      <c r="D17" s="4"/>
      <c r="E17" s="4" t="s">
        <v>43</v>
      </c>
      <c r="F17" s="4"/>
      <c r="G17" s="4"/>
      <c r="H17" s="4"/>
      <c r="I17" s="4"/>
      <c r="J17" s="4"/>
      <c r="K17" s="4"/>
    </row>
    <row r="18" spans="1:11" s="1" customFormat="1" ht="14.4">
      <c r="A18" s="4" t="s">
        <v>16</v>
      </c>
      <c r="B18" s="4" t="s">
        <v>71</v>
      </c>
      <c r="C18" s="14" t="s">
        <v>127</v>
      </c>
      <c r="D18" s="4"/>
      <c r="E18" s="4"/>
      <c r="F18" s="4"/>
      <c r="G18" s="4"/>
      <c r="H18" s="4" t="s">
        <v>43</v>
      </c>
      <c r="I18" s="4"/>
      <c r="J18" s="4"/>
      <c r="K18" s="4"/>
    </row>
    <row r="19" spans="1:11" ht="14.4">
      <c r="A19" s="4" t="s">
        <v>16</v>
      </c>
      <c r="B19" s="4" t="s">
        <v>72</v>
      </c>
      <c r="C19" s="14" t="s">
        <v>128</v>
      </c>
      <c r="D19" s="4"/>
      <c r="E19" s="4"/>
      <c r="F19" s="4"/>
      <c r="G19" s="4"/>
      <c r="H19" s="4"/>
      <c r="I19" s="4"/>
      <c r="J19" s="4" t="s">
        <v>49</v>
      </c>
      <c r="K19" s="4"/>
    </row>
    <row r="20" spans="1:11" ht="14.4">
      <c r="A20" s="4" t="s">
        <v>16</v>
      </c>
      <c r="B20" s="4" t="s">
        <v>72</v>
      </c>
      <c r="C20" s="14" t="s">
        <v>129</v>
      </c>
      <c r="D20" s="4"/>
      <c r="E20" s="4" t="s">
        <v>43</v>
      </c>
      <c r="F20" s="4"/>
      <c r="G20" s="4"/>
      <c r="H20" s="4"/>
      <c r="I20" s="4"/>
      <c r="J20" s="4"/>
      <c r="K20" s="4"/>
    </row>
    <row r="21" spans="1:11" s="1" customFormat="1" ht="14.4">
      <c r="A21" s="4" t="s">
        <v>36</v>
      </c>
      <c r="B21" s="4" t="s">
        <v>73</v>
      </c>
      <c r="C21" s="14" t="s">
        <v>130</v>
      </c>
      <c r="D21" s="4"/>
      <c r="E21" s="4"/>
      <c r="F21" s="4"/>
      <c r="G21" s="4" t="s">
        <v>43</v>
      </c>
      <c r="H21" s="4"/>
      <c r="I21" s="4"/>
      <c r="J21" s="4"/>
      <c r="K21" s="4"/>
    </row>
    <row r="22" spans="1:11" ht="14.4">
      <c r="A22" s="4" t="s">
        <v>12</v>
      </c>
      <c r="B22" s="4" t="s">
        <v>74</v>
      </c>
      <c r="C22" s="15" t="s">
        <v>131</v>
      </c>
      <c r="D22" s="7"/>
      <c r="E22" s="7" t="s">
        <v>43</v>
      </c>
      <c r="F22" s="7"/>
      <c r="G22" s="7"/>
      <c r="H22" s="7"/>
      <c r="I22" s="7"/>
      <c r="J22" s="7"/>
      <c r="K22" s="7"/>
    </row>
    <row r="23" spans="1:11" ht="14.4">
      <c r="A23" s="4" t="s">
        <v>12</v>
      </c>
      <c r="B23" s="4" t="s">
        <v>75</v>
      </c>
      <c r="C23" s="15" t="s">
        <v>132</v>
      </c>
      <c r="D23" s="7"/>
      <c r="E23" s="7"/>
      <c r="F23" s="7"/>
      <c r="G23" s="7"/>
      <c r="H23" s="7" t="s">
        <v>43</v>
      </c>
      <c r="I23" s="7"/>
      <c r="J23" s="7"/>
      <c r="K23" s="7"/>
    </row>
    <row r="24" spans="1:11" ht="14.4">
      <c r="A24" s="4" t="s">
        <v>12</v>
      </c>
      <c r="B24" s="4" t="s">
        <v>76</v>
      </c>
      <c r="C24" s="15" t="s">
        <v>133</v>
      </c>
      <c r="D24" s="7"/>
      <c r="E24" s="7"/>
      <c r="F24" s="7"/>
      <c r="G24" s="7" t="s">
        <v>43</v>
      </c>
      <c r="H24" s="7"/>
      <c r="I24" s="7"/>
      <c r="J24" s="7"/>
      <c r="K24" s="7"/>
    </row>
    <row r="25" spans="1:11" ht="14.4">
      <c r="A25" s="4" t="s">
        <v>12</v>
      </c>
      <c r="B25" s="4" t="s">
        <v>77</v>
      </c>
      <c r="C25" s="15" t="s">
        <v>134</v>
      </c>
      <c r="D25" s="7"/>
      <c r="E25" s="7"/>
      <c r="F25" s="7" t="s">
        <v>49</v>
      </c>
      <c r="G25" s="7"/>
      <c r="H25" s="7"/>
      <c r="I25" s="7"/>
      <c r="J25" s="7"/>
      <c r="K25" s="7"/>
    </row>
    <row r="26" spans="1:11" ht="14.4">
      <c r="A26" s="4" t="s">
        <v>12</v>
      </c>
      <c r="B26" s="4" t="s">
        <v>78</v>
      </c>
      <c r="C26" s="15" t="s">
        <v>135</v>
      </c>
      <c r="D26" s="7"/>
      <c r="E26" s="7"/>
      <c r="F26" s="7"/>
      <c r="G26" s="7" t="s">
        <v>43</v>
      </c>
      <c r="H26" s="7"/>
      <c r="I26" s="7"/>
      <c r="J26" s="7"/>
      <c r="K26" s="7"/>
    </row>
    <row r="27" spans="1:11" s="2" customFormat="1" ht="14.4">
      <c r="A27" s="8" t="s">
        <v>12</v>
      </c>
      <c r="B27" s="8"/>
      <c r="C27" s="9" t="s">
        <v>168</v>
      </c>
      <c r="D27" s="10"/>
      <c r="E27" s="10"/>
      <c r="F27" s="10"/>
      <c r="G27" s="10"/>
      <c r="H27" s="10"/>
      <c r="I27" s="10"/>
      <c r="J27" s="10" t="s">
        <v>44</v>
      </c>
      <c r="K27" s="10"/>
    </row>
    <row r="28" spans="1:11" ht="14.4">
      <c r="A28" s="4" t="s">
        <v>18</v>
      </c>
      <c r="B28" s="4" t="s">
        <v>79</v>
      </c>
      <c r="C28" s="14" t="s">
        <v>136</v>
      </c>
      <c r="D28" s="4"/>
      <c r="E28" s="4"/>
      <c r="F28" s="4"/>
      <c r="G28" s="4"/>
      <c r="H28" s="4"/>
      <c r="I28" s="4"/>
      <c r="J28" s="4" t="s">
        <v>43</v>
      </c>
      <c r="K28" s="4"/>
    </row>
    <row r="29" spans="1:11" ht="14.4">
      <c r="A29" s="4" t="s">
        <v>18</v>
      </c>
      <c r="B29" s="4" t="s">
        <v>80</v>
      </c>
      <c r="C29" s="14" t="s">
        <v>137</v>
      </c>
      <c r="D29" s="4"/>
      <c r="E29" s="4"/>
      <c r="F29" s="4"/>
      <c r="G29" s="4" t="s">
        <v>43</v>
      </c>
      <c r="H29" s="4"/>
      <c r="I29" s="4"/>
      <c r="J29" s="4"/>
      <c r="K29" s="4"/>
    </row>
    <row r="30" spans="1:11" ht="14.4">
      <c r="A30" s="4" t="s">
        <v>18</v>
      </c>
      <c r="B30" s="4" t="s">
        <v>81</v>
      </c>
      <c r="C30" s="14" t="s">
        <v>138</v>
      </c>
      <c r="D30" s="4"/>
      <c r="E30" s="4"/>
      <c r="F30" s="4"/>
      <c r="G30" s="4"/>
      <c r="H30" s="4"/>
      <c r="I30" s="4"/>
      <c r="J30" s="4"/>
      <c r="K30" s="4" t="s">
        <v>43</v>
      </c>
    </row>
    <row r="31" spans="1:11" ht="14.4">
      <c r="A31" s="4" t="s">
        <v>18</v>
      </c>
      <c r="B31" s="4"/>
      <c r="C31" s="14" t="s">
        <v>9</v>
      </c>
      <c r="D31" s="4"/>
      <c r="E31" s="4"/>
      <c r="F31" s="4"/>
      <c r="G31" s="4"/>
      <c r="H31" s="4" t="s">
        <v>43</v>
      </c>
      <c r="I31" s="4"/>
      <c r="J31" s="4"/>
      <c r="K31" s="4" t="s">
        <v>43</v>
      </c>
    </row>
    <row r="32" spans="1:11" ht="14.4">
      <c r="A32" s="4" t="s">
        <v>18</v>
      </c>
      <c r="B32" s="4"/>
      <c r="C32" s="14" t="s">
        <v>8</v>
      </c>
      <c r="D32" s="4"/>
      <c r="E32" s="4"/>
      <c r="F32" s="4"/>
      <c r="G32" s="4"/>
      <c r="H32" s="4" t="s">
        <v>43</v>
      </c>
      <c r="I32" s="4"/>
      <c r="J32" s="4"/>
      <c r="K32" s="4"/>
    </row>
    <row r="33" spans="1:11" s="1" customFormat="1" ht="14.4">
      <c r="A33" s="4" t="s">
        <v>14</v>
      </c>
      <c r="B33" s="4" t="s">
        <v>82</v>
      </c>
      <c r="C33" s="15" t="s">
        <v>139</v>
      </c>
      <c r="D33" s="7"/>
      <c r="E33" s="7"/>
      <c r="F33" s="10" t="s">
        <v>54</v>
      </c>
      <c r="G33" s="10" t="s">
        <v>54</v>
      </c>
      <c r="H33" s="7"/>
      <c r="I33" s="7" t="s">
        <v>43</v>
      </c>
      <c r="J33" s="10" t="s">
        <v>54</v>
      </c>
      <c r="K33" s="7" t="s">
        <v>49</v>
      </c>
    </row>
    <row r="34" spans="1:11" s="3" customFormat="1" ht="14.4">
      <c r="A34" s="8"/>
      <c r="B34" s="12"/>
      <c r="C34" s="11" t="s">
        <v>169</v>
      </c>
      <c r="D34" s="10"/>
      <c r="E34" s="10"/>
      <c r="F34" s="10"/>
      <c r="G34" s="10" t="s">
        <v>54</v>
      </c>
      <c r="H34" s="10"/>
      <c r="I34" s="10"/>
      <c r="J34" s="10"/>
      <c r="K34" s="10"/>
    </row>
    <row r="35" spans="1:11" ht="14.4">
      <c r="A35" s="4" t="s">
        <v>33</v>
      </c>
      <c r="B35" s="4" t="s">
        <v>83</v>
      </c>
      <c r="C35" s="14" t="s">
        <v>140</v>
      </c>
      <c r="D35" s="4"/>
      <c r="E35" s="4"/>
      <c r="F35" s="4"/>
      <c r="G35" s="4" t="s">
        <v>43</v>
      </c>
      <c r="H35" s="4" t="s">
        <v>43</v>
      </c>
      <c r="I35" s="4"/>
      <c r="J35" s="4"/>
      <c r="K35" s="4"/>
    </row>
    <row r="36" spans="1:11" ht="14.4">
      <c r="A36" s="4" t="s">
        <v>26</v>
      </c>
      <c r="B36" s="4" t="s">
        <v>84</v>
      </c>
      <c r="C36" s="14" t="s">
        <v>141</v>
      </c>
      <c r="D36" s="4"/>
      <c r="E36" s="4"/>
      <c r="F36" s="4"/>
      <c r="G36" s="4"/>
      <c r="H36" s="4"/>
      <c r="I36" s="4"/>
      <c r="J36" s="4"/>
      <c r="K36" s="4" t="s">
        <v>43</v>
      </c>
    </row>
    <row r="37" spans="1:11" s="2" customFormat="1" ht="14.4">
      <c r="A37" s="8"/>
      <c r="B37" s="12"/>
      <c r="C37" s="11" t="s">
        <v>170</v>
      </c>
      <c r="D37" s="8"/>
      <c r="E37" s="8"/>
      <c r="F37" s="8"/>
      <c r="G37" s="8"/>
      <c r="H37" s="8"/>
      <c r="I37" s="8"/>
      <c r="J37" s="8"/>
      <c r="K37" s="8" t="s">
        <v>44</v>
      </c>
    </row>
    <row r="38" spans="1:11" s="2" customFormat="1" ht="14.4">
      <c r="A38" s="8"/>
      <c r="B38" s="12"/>
      <c r="C38" s="11" t="s">
        <v>171</v>
      </c>
      <c r="D38" s="8"/>
      <c r="E38" s="8"/>
      <c r="F38" s="8"/>
      <c r="G38" s="8" t="s">
        <v>44</v>
      </c>
      <c r="H38" s="8"/>
      <c r="I38" s="8"/>
      <c r="J38" s="8" t="s">
        <v>44</v>
      </c>
      <c r="K38" s="8" t="s">
        <v>44</v>
      </c>
    </row>
    <row r="39" spans="1:11" ht="14.4">
      <c r="A39" s="4" t="s">
        <v>26</v>
      </c>
      <c r="B39" s="4" t="s">
        <v>85</v>
      </c>
      <c r="C39" s="14" t="s">
        <v>142</v>
      </c>
      <c r="D39" s="4"/>
      <c r="E39" s="4"/>
      <c r="F39" s="4"/>
      <c r="G39" s="4"/>
      <c r="H39" s="4"/>
      <c r="I39" s="4"/>
      <c r="J39" s="4" t="s">
        <v>49</v>
      </c>
      <c r="K39" s="4"/>
    </row>
    <row r="40" spans="1:11" ht="14.4">
      <c r="A40" s="4" t="s">
        <v>27</v>
      </c>
      <c r="B40" s="4" t="s">
        <v>11</v>
      </c>
      <c r="C40" s="14" t="s">
        <v>11</v>
      </c>
      <c r="D40" s="4"/>
      <c r="E40" s="4"/>
      <c r="F40" s="4"/>
      <c r="G40" s="4"/>
      <c r="H40" s="4"/>
      <c r="I40" s="4"/>
      <c r="J40" s="4"/>
      <c r="K40" s="4" t="s">
        <v>49</v>
      </c>
    </row>
    <row r="41" spans="1:11" s="2" customFormat="1" ht="14.4">
      <c r="A41" s="8" t="s">
        <v>29</v>
      </c>
      <c r="B41" s="8" t="s">
        <v>86</v>
      </c>
      <c r="C41" s="16" t="s">
        <v>143</v>
      </c>
      <c r="D41" s="8"/>
      <c r="E41" s="8"/>
      <c r="F41" s="8" t="s">
        <v>43</v>
      </c>
      <c r="G41" s="8"/>
      <c r="H41" s="8"/>
      <c r="I41" s="8"/>
      <c r="J41" s="8"/>
      <c r="K41" s="8"/>
    </row>
    <row r="42" spans="1:11" ht="14.4">
      <c r="A42" s="4" t="s">
        <v>29</v>
      </c>
      <c r="B42" s="4" t="s">
        <v>87</v>
      </c>
      <c r="C42" s="17" t="s">
        <v>144</v>
      </c>
      <c r="D42" s="4"/>
      <c r="E42" s="4"/>
      <c r="F42" s="4"/>
      <c r="G42" s="4"/>
      <c r="H42" s="4"/>
      <c r="I42" s="4"/>
      <c r="J42" s="4" t="s">
        <v>44</v>
      </c>
      <c r="K42" s="4"/>
    </row>
    <row r="43" spans="1:11" ht="14.4">
      <c r="A43" s="4" t="s">
        <v>15</v>
      </c>
      <c r="B43" s="4" t="s">
        <v>88</v>
      </c>
      <c r="C43" s="14" t="s">
        <v>145</v>
      </c>
      <c r="D43" s="4"/>
      <c r="E43" s="4"/>
      <c r="F43" s="4" t="s">
        <v>43</v>
      </c>
      <c r="G43" s="4"/>
      <c r="H43" s="4"/>
      <c r="I43" s="4"/>
      <c r="J43" s="4"/>
      <c r="K43" s="4"/>
    </row>
    <row r="44" spans="1:11" ht="14.4">
      <c r="A44" s="4" t="s">
        <v>15</v>
      </c>
      <c r="B44" s="4" t="s">
        <v>89</v>
      </c>
      <c r="C44" s="14" t="s">
        <v>146</v>
      </c>
      <c r="D44" s="4"/>
      <c r="E44" s="4"/>
      <c r="F44" s="4"/>
      <c r="G44" s="4"/>
      <c r="H44" s="4"/>
      <c r="I44" s="4" t="s">
        <v>43</v>
      </c>
      <c r="J44" s="4"/>
      <c r="K44" s="4"/>
    </row>
    <row r="45" spans="1:11" s="2" customFormat="1" ht="14.4">
      <c r="A45" s="8" t="s">
        <v>15</v>
      </c>
      <c r="B45" s="8"/>
      <c r="C45" s="18" t="s">
        <v>45</v>
      </c>
      <c r="D45" s="8"/>
      <c r="E45" s="8"/>
      <c r="F45" s="8"/>
      <c r="G45" s="8"/>
      <c r="H45" s="8"/>
      <c r="I45" s="8"/>
      <c r="J45" s="8" t="s">
        <v>44</v>
      </c>
      <c r="K45" s="8"/>
    </row>
    <row r="46" spans="1:11" s="2" customFormat="1" ht="14.4">
      <c r="A46" s="8" t="s">
        <v>15</v>
      </c>
      <c r="B46" s="8"/>
      <c r="C46" s="18" t="s">
        <v>46</v>
      </c>
      <c r="D46" s="8"/>
      <c r="E46" s="8"/>
      <c r="F46" s="8"/>
      <c r="G46" s="8"/>
      <c r="H46" s="8"/>
      <c r="I46" s="8"/>
      <c r="J46" s="8" t="s">
        <v>44</v>
      </c>
      <c r="K46" s="8" t="s">
        <v>44</v>
      </c>
    </row>
    <row r="47" spans="1:11" s="2" customFormat="1" ht="14.4">
      <c r="A47" s="8" t="s">
        <v>15</v>
      </c>
      <c r="B47" s="8"/>
      <c r="C47" s="18" t="s">
        <v>47</v>
      </c>
      <c r="D47" s="8"/>
      <c r="E47" s="8"/>
      <c r="F47" s="8"/>
      <c r="G47" s="8"/>
      <c r="H47" s="8"/>
      <c r="I47" s="8"/>
      <c r="J47" s="8" t="s">
        <v>44</v>
      </c>
      <c r="K47" s="8"/>
    </row>
    <row r="48" spans="1:11" s="2" customFormat="1" ht="14.4">
      <c r="A48" s="8" t="s">
        <v>15</v>
      </c>
      <c r="B48" s="8"/>
      <c r="C48" s="18" t="s">
        <v>48</v>
      </c>
      <c r="D48" s="8"/>
      <c r="E48" s="8"/>
      <c r="F48" s="8"/>
      <c r="G48" s="8"/>
      <c r="H48" s="8"/>
      <c r="I48" s="8"/>
      <c r="J48" s="8" t="s">
        <v>44</v>
      </c>
      <c r="K48" s="8"/>
    </row>
    <row r="49" spans="1:11" s="1" customFormat="1" ht="14.4">
      <c r="A49" s="4" t="s">
        <v>13</v>
      </c>
      <c r="B49" s="4" t="s">
        <v>90</v>
      </c>
      <c r="C49" s="15" t="s">
        <v>147</v>
      </c>
      <c r="D49" s="7"/>
      <c r="E49" s="7" t="s">
        <v>43</v>
      </c>
      <c r="F49" s="7" t="s">
        <v>43</v>
      </c>
      <c r="G49" s="7" t="s">
        <v>43</v>
      </c>
      <c r="H49" s="7" t="s">
        <v>43</v>
      </c>
      <c r="I49" s="7"/>
      <c r="J49" s="7"/>
      <c r="K49" s="7"/>
    </row>
    <row r="50" spans="1:11" ht="14.4">
      <c r="A50" s="4" t="s">
        <v>13</v>
      </c>
      <c r="B50" s="4" t="s">
        <v>91</v>
      </c>
      <c r="C50" s="15" t="s">
        <v>148</v>
      </c>
      <c r="D50" s="7"/>
      <c r="E50" s="7"/>
      <c r="F50" s="7"/>
      <c r="G50" s="7"/>
      <c r="H50" s="7"/>
      <c r="I50" s="7" t="s">
        <v>43</v>
      </c>
      <c r="J50" s="7"/>
      <c r="K50" s="7"/>
    </row>
    <row r="51" spans="1:11" ht="14.4">
      <c r="A51" s="4" t="s">
        <v>30</v>
      </c>
      <c r="B51" s="4" t="s">
        <v>92</v>
      </c>
      <c r="C51" s="14" t="s">
        <v>149</v>
      </c>
      <c r="D51" s="4" t="s">
        <v>43</v>
      </c>
      <c r="E51" s="4"/>
      <c r="F51" s="4"/>
      <c r="G51" s="4"/>
      <c r="H51" s="4"/>
      <c r="I51" s="4"/>
      <c r="J51" s="4"/>
      <c r="K51" s="4"/>
    </row>
    <row r="52" spans="1:11" ht="14.4">
      <c r="A52" s="4" t="s">
        <v>30</v>
      </c>
      <c r="B52" s="4" t="s">
        <v>93</v>
      </c>
      <c r="C52" s="14" t="s">
        <v>150</v>
      </c>
      <c r="D52" s="4"/>
      <c r="E52" s="4" t="s">
        <v>43</v>
      </c>
      <c r="F52" s="4"/>
      <c r="G52" s="4"/>
      <c r="H52" s="4"/>
      <c r="I52" s="4"/>
      <c r="J52" s="4"/>
      <c r="K52" s="4"/>
    </row>
    <row r="53" spans="1:11" ht="14.4">
      <c r="A53" s="4" t="s">
        <v>30</v>
      </c>
      <c r="B53" s="4" t="s">
        <v>94</v>
      </c>
      <c r="C53" s="14" t="s">
        <v>151</v>
      </c>
      <c r="D53" s="4" t="s">
        <v>43</v>
      </c>
      <c r="E53" s="4"/>
      <c r="F53" s="4"/>
      <c r="G53" s="4"/>
      <c r="H53" s="4"/>
      <c r="I53" s="4"/>
      <c r="J53" s="4"/>
      <c r="K53" s="4"/>
    </row>
    <row r="54" spans="1:11" ht="14.4">
      <c r="A54" s="4" t="s">
        <v>30</v>
      </c>
      <c r="B54" s="4" t="s">
        <v>95</v>
      </c>
      <c r="C54" s="14" t="s">
        <v>152</v>
      </c>
      <c r="D54" s="4"/>
      <c r="E54" s="4" t="s">
        <v>43</v>
      </c>
      <c r="F54" s="4"/>
      <c r="G54" s="4"/>
      <c r="H54" s="4"/>
      <c r="I54" s="4"/>
      <c r="J54" s="4"/>
      <c r="K54" s="8" t="s">
        <v>44</v>
      </c>
    </row>
    <row r="55" spans="1:11" s="1" customFormat="1" ht="14.4">
      <c r="A55" s="4" t="s">
        <v>30</v>
      </c>
      <c r="B55" s="4" t="s">
        <v>96</v>
      </c>
      <c r="C55" s="14" t="s">
        <v>153</v>
      </c>
      <c r="D55" s="4"/>
      <c r="E55" s="4"/>
      <c r="F55" s="4" t="s">
        <v>49</v>
      </c>
      <c r="G55" s="4"/>
      <c r="H55" s="4"/>
      <c r="I55" s="4"/>
      <c r="J55" s="4"/>
      <c r="K55" s="4"/>
    </row>
    <row r="56" spans="1:11" ht="14.4">
      <c r="A56" s="4" t="s">
        <v>30</v>
      </c>
      <c r="B56" s="4" t="s">
        <v>97</v>
      </c>
      <c r="C56" s="14" t="s">
        <v>154</v>
      </c>
      <c r="D56" s="4"/>
      <c r="E56" s="4" t="s">
        <v>43</v>
      </c>
      <c r="F56" s="4"/>
      <c r="G56" s="4"/>
      <c r="H56" s="4"/>
      <c r="I56" s="4"/>
      <c r="J56" s="4"/>
      <c r="K56" s="4"/>
    </row>
    <row r="57" spans="1:11" ht="14.4">
      <c r="A57" s="4" t="s">
        <v>21</v>
      </c>
      <c r="B57" s="4" t="s">
        <v>98</v>
      </c>
      <c r="C57" s="14" t="s">
        <v>112</v>
      </c>
      <c r="D57" s="4"/>
      <c r="E57" s="4" t="s">
        <v>43</v>
      </c>
      <c r="F57" s="4"/>
      <c r="G57" s="4"/>
      <c r="H57" s="4"/>
      <c r="I57" s="4"/>
      <c r="J57" s="4"/>
      <c r="K57" s="4"/>
    </row>
    <row r="58" spans="1:11" ht="14.4">
      <c r="A58" s="4" t="s">
        <v>19</v>
      </c>
      <c r="B58" s="4" t="s">
        <v>99</v>
      </c>
      <c r="C58" s="14" t="s">
        <v>155</v>
      </c>
      <c r="D58" s="4"/>
      <c r="E58" s="4"/>
      <c r="F58" s="4" t="s">
        <v>43</v>
      </c>
      <c r="G58" s="4"/>
      <c r="H58" s="4"/>
      <c r="I58" s="4"/>
      <c r="J58" s="4"/>
      <c r="K58" s="4"/>
    </row>
    <row r="59" spans="1:11" ht="14.4">
      <c r="A59" s="4" t="s">
        <v>19</v>
      </c>
      <c r="B59" s="4" t="s">
        <v>100</v>
      </c>
      <c r="C59" s="14" t="s">
        <v>156</v>
      </c>
      <c r="D59" s="4" t="s">
        <v>43</v>
      </c>
      <c r="E59" s="4"/>
      <c r="F59" s="4"/>
      <c r="G59" s="4"/>
      <c r="H59" s="4"/>
      <c r="I59" s="4"/>
      <c r="J59" s="4"/>
      <c r="K59" s="4"/>
    </row>
    <row r="60" spans="1:11" ht="14.4">
      <c r="A60" s="4" t="s">
        <v>25</v>
      </c>
      <c r="B60" s="4" t="s">
        <v>101</v>
      </c>
      <c r="C60" s="14" t="s">
        <v>51</v>
      </c>
      <c r="D60" s="4"/>
      <c r="E60" s="4" t="s">
        <v>43</v>
      </c>
      <c r="F60" s="4"/>
      <c r="G60" s="4"/>
      <c r="H60" s="4"/>
      <c r="I60" s="4"/>
      <c r="J60" s="4"/>
      <c r="K60" s="4"/>
    </row>
    <row r="61" spans="1:11" ht="14.4">
      <c r="A61" s="4" t="s">
        <v>25</v>
      </c>
      <c r="B61" s="4" t="s">
        <v>102</v>
      </c>
      <c r="C61" s="14" t="s">
        <v>157</v>
      </c>
      <c r="D61" s="4"/>
      <c r="E61" s="4"/>
      <c r="F61" s="4"/>
      <c r="G61" s="4"/>
      <c r="H61" s="4"/>
      <c r="I61" s="4" t="s">
        <v>43</v>
      </c>
      <c r="J61" s="4"/>
      <c r="K61" s="4"/>
    </row>
    <row r="62" spans="1:11" ht="14.4">
      <c r="A62" s="4" t="s">
        <v>25</v>
      </c>
      <c r="B62" s="4" t="s">
        <v>103</v>
      </c>
      <c r="C62" s="14" t="s">
        <v>158</v>
      </c>
      <c r="D62" s="4"/>
      <c r="E62" s="4"/>
      <c r="F62" s="4"/>
      <c r="G62" s="4"/>
      <c r="H62" s="4" t="s">
        <v>43</v>
      </c>
      <c r="I62" s="4"/>
      <c r="J62" s="4"/>
      <c r="K62" s="4"/>
    </row>
    <row r="63" spans="1:11" ht="14.4">
      <c r="A63" s="4" t="s">
        <v>25</v>
      </c>
      <c r="B63" s="4"/>
      <c r="C63" s="14" t="s">
        <v>159</v>
      </c>
      <c r="D63" s="4"/>
      <c r="E63" s="4"/>
      <c r="F63" s="4"/>
      <c r="G63" s="4"/>
      <c r="H63" s="4" t="s">
        <v>43</v>
      </c>
      <c r="I63" s="4"/>
      <c r="J63" s="4"/>
      <c r="K63" s="4"/>
    </row>
    <row r="64" spans="1:11" ht="14.4">
      <c r="A64" s="4" t="s">
        <v>25</v>
      </c>
      <c r="B64" s="4" t="s">
        <v>104</v>
      </c>
      <c r="C64" s="14" t="s">
        <v>160</v>
      </c>
      <c r="D64" s="4"/>
      <c r="E64" s="4"/>
      <c r="F64" s="4"/>
      <c r="G64" s="4"/>
      <c r="H64" s="4" t="s">
        <v>43</v>
      </c>
      <c r="I64" s="4"/>
      <c r="J64" s="4"/>
      <c r="K64" s="4"/>
    </row>
    <row r="65" spans="1:11" s="2" customFormat="1" ht="14.4">
      <c r="A65" s="8"/>
      <c r="B65" s="13"/>
      <c r="C65" s="19" t="s">
        <v>53</v>
      </c>
      <c r="D65" s="8"/>
      <c r="E65" s="8"/>
      <c r="F65" s="8"/>
      <c r="G65" s="8"/>
      <c r="H65" s="8"/>
      <c r="I65" s="8"/>
      <c r="J65" s="8"/>
      <c r="K65" s="8" t="s">
        <v>44</v>
      </c>
    </row>
    <row r="66" spans="1:11" s="2" customFormat="1" ht="14.4">
      <c r="A66" s="8"/>
      <c r="B66" s="12"/>
      <c r="C66" s="11" t="s">
        <v>52</v>
      </c>
      <c r="D66" s="8"/>
      <c r="E66" s="8"/>
      <c r="F66" s="8"/>
      <c r="G66" s="8"/>
      <c r="H66" s="8"/>
      <c r="I66" s="8"/>
      <c r="J66" s="8" t="s">
        <v>44</v>
      </c>
      <c r="K66" s="8" t="s">
        <v>44</v>
      </c>
    </row>
    <row r="67" spans="1:11" s="2" customFormat="1" ht="14.4">
      <c r="A67" s="8"/>
      <c r="B67" s="8"/>
      <c r="C67" s="20" t="s">
        <v>50</v>
      </c>
      <c r="D67" s="8"/>
      <c r="E67" s="8"/>
      <c r="F67" s="8" t="s">
        <v>44</v>
      </c>
      <c r="G67" s="8"/>
      <c r="H67" s="8"/>
      <c r="I67" s="8"/>
      <c r="J67" s="8"/>
      <c r="K67" s="8"/>
    </row>
    <row r="68" spans="1:11" s="2" customFormat="1" ht="14.4">
      <c r="A68" s="8"/>
      <c r="B68" s="8"/>
      <c r="C68" s="20" t="s">
        <v>51</v>
      </c>
      <c r="D68" s="8"/>
      <c r="E68" s="8"/>
      <c r="F68" s="8" t="s">
        <v>44</v>
      </c>
      <c r="G68" s="8"/>
      <c r="H68" s="8"/>
      <c r="I68" s="8"/>
      <c r="J68" s="8"/>
      <c r="K68" s="8"/>
    </row>
    <row r="69" spans="1:11" ht="14.4">
      <c r="A69" s="4" t="s">
        <v>24</v>
      </c>
      <c r="B69" s="4" t="s">
        <v>105</v>
      </c>
      <c r="C69" s="14" t="s">
        <v>161</v>
      </c>
      <c r="D69" s="4"/>
      <c r="E69" s="4"/>
      <c r="F69" s="4"/>
      <c r="G69" s="4"/>
      <c r="H69" s="4" t="s">
        <v>43</v>
      </c>
      <c r="I69" s="4"/>
      <c r="J69" s="4"/>
      <c r="K69" s="4"/>
    </row>
    <row r="70" spans="1:11" ht="14.4">
      <c r="A70" s="4" t="s">
        <v>32</v>
      </c>
      <c r="B70" s="4" t="s">
        <v>106</v>
      </c>
      <c r="C70" s="14" t="s">
        <v>162</v>
      </c>
      <c r="D70" s="4"/>
      <c r="E70" s="4"/>
      <c r="F70" s="4" t="s">
        <v>43</v>
      </c>
      <c r="G70" s="4"/>
      <c r="H70" s="4"/>
      <c r="I70" s="4"/>
      <c r="J70" s="4"/>
      <c r="K70" s="4"/>
    </row>
    <row r="71" spans="1:11" ht="14.4">
      <c r="A71" s="4" t="s">
        <v>32</v>
      </c>
      <c r="B71" s="4" t="s">
        <v>107</v>
      </c>
      <c r="C71" s="14" t="s">
        <v>163</v>
      </c>
      <c r="D71" s="4"/>
      <c r="E71" s="4"/>
      <c r="F71" s="4"/>
      <c r="G71" s="4"/>
      <c r="H71" s="4" t="s">
        <v>43</v>
      </c>
      <c r="I71" s="4"/>
      <c r="J71" s="4"/>
      <c r="K71" s="4"/>
    </row>
    <row r="72" spans="1:11" ht="14.4">
      <c r="A72" s="4" t="s">
        <v>28</v>
      </c>
      <c r="B72" s="4" t="s">
        <v>108</v>
      </c>
      <c r="C72" s="14" t="s">
        <v>164</v>
      </c>
      <c r="D72" s="4"/>
      <c r="E72" s="4"/>
      <c r="F72" s="4"/>
      <c r="G72" s="4"/>
      <c r="H72" s="4"/>
      <c r="I72" s="4"/>
      <c r="J72" s="4" t="s">
        <v>43</v>
      </c>
      <c r="K72" s="4"/>
    </row>
    <row r="73" spans="1:11" ht="14.4">
      <c r="A73" s="4" t="s">
        <v>35</v>
      </c>
      <c r="B73" s="4" t="s">
        <v>109</v>
      </c>
      <c r="C73" s="14" t="s">
        <v>165</v>
      </c>
      <c r="D73" s="4"/>
      <c r="E73" s="4"/>
      <c r="F73" s="4"/>
      <c r="G73" s="4"/>
      <c r="H73" s="4"/>
      <c r="I73" s="4"/>
      <c r="J73" s="4"/>
      <c r="K73" s="4" t="s">
        <v>43</v>
      </c>
    </row>
    <row r="74" spans="1:11" ht="14.4">
      <c r="A74" s="4" t="s">
        <v>35</v>
      </c>
      <c r="B74" s="4" t="s">
        <v>110</v>
      </c>
      <c r="C74" s="14" t="s">
        <v>166</v>
      </c>
      <c r="D74" s="4"/>
      <c r="E74" s="4"/>
      <c r="F74" s="4"/>
      <c r="G74" s="4"/>
      <c r="H74" s="4"/>
      <c r="I74" s="4" t="s">
        <v>43</v>
      </c>
      <c r="J74" s="4"/>
      <c r="K74" s="4"/>
    </row>
    <row r="75" spans="1:11" s="2" customFormat="1" ht="14.4">
      <c r="A75" s="8"/>
      <c r="B75" s="12"/>
      <c r="C75" s="11" t="s">
        <v>172</v>
      </c>
      <c r="D75" s="8"/>
      <c r="E75" s="8"/>
      <c r="F75" s="8"/>
      <c r="G75" s="8" t="s">
        <v>44</v>
      </c>
      <c r="H75" s="8"/>
      <c r="I75" s="8"/>
      <c r="J75" s="8"/>
      <c r="K75" s="8"/>
    </row>
    <row r="76" spans="1:11" ht="14.4">
      <c r="A76" s="4" t="s">
        <v>35</v>
      </c>
      <c r="B76" s="4" t="s">
        <v>111</v>
      </c>
      <c r="C76" s="18" t="s">
        <v>167</v>
      </c>
      <c r="D76" s="4"/>
      <c r="E76" s="4"/>
      <c r="F76" s="4"/>
      <c r="G76" s="4" t="s">
        <v>43</v>
      </c>
      <c r="H76" s="4"/>
      <c r="I76" s="4"/>
      <c r="J76" s="4"/>
      <c r="K76" s="4"/>
    </row>
    <row r="78" spans="1:11">
      <c r="C78" t="s">
        <v>37</v>
      </c>
      <c r="D78">
        <f t="shared" ref="D78:K78" si="0">COUNTA(D23:D25,D33,D43:D44,D17:D21)</f>
        <v>0</v>
      </c>
      <c r="E78">
        <f t="shared" si="0"/>
        <v>2</v>
      </c>
      <c r="F78">
        <f t="shared" si="0"/>
        <v>3</v>
      </c>
      <c r="G78">
        <f t="shared" si="0"/>
        <v>3</v>
      </c>
      <c r="H78">
        <f t="shared" si="0"/>
        <v>2</v>
      </c>
      <c r="I78">
        <f t="shared" si="0"/>
        <v>2</v>
      </c>
      <c r="J78">
        <f t="shared" si="0"/>
        <v>2</v>
      </c>
      <c r="K78">
        <f t="shared" si="0"/>
        <v>1</v>
      </c>
    </row>
    <row r="79" spans="1:11">
      <c r="C79" t="s">
        <v>39</v>
      </c>
      <c r="D79">
        <f t="shared" ref="D79:K79" si="1">COUNTA(D36:D39,D22,D26)</f>
        <v>0</v>
      </c>
      <c r="E79">
        <f t="shared" si="1"/>
        <v>1</v>
      </c>
      <c r="F79">
        <f t="shared" si="1"/>
        <v>0</v>
      </c>
      <c r="G79">
        <f t="shared" si="1"/>
        <v>2</v>
      </c>
      <c r="H79">
        <f t="shared" si="1"/>
        <v>0</v>
      </c>
      <c r="I79">
        <f t="shared" si="1"/>
        <v>0</v>
      </c>
      <c r="J79">
        <f t="shared" si="1"/>
        <v>2</v>
      </c>
      <c r="K79">
        <f t="shared" si="1"/>
        <v>3</v>
      </c>
    </row>
    <row r="80" spans="1:11">
      <c r="C80" t="s">
        <v>40</v>
      </c>
      <c r="D80">
        <f t="shared" ref="D80:K80" si="2">COUNTA(D56,D33,D23:D25)</f>
        <v>0</v>
      </c>
      <c r="E80">
        <f t="shared" si="2"/>
        <v>1</v>
      </c>
      <c r="F80">
        <f t="shared" si="2"/>
        <v>2</v>
      </c>
      <c r="G80">
        <f t="shared" si="2"/>
        <v>2</v>
      </c>
      <c r="H80">
        <f t="shared" si="2"/>
        <v>1</v>
      </c>
      <c r="I80">
        <f t="shared" si="2"/>
        <v>1</v>
      </c>
      <c r="J80">
        <f t="shared" si="2"/>
        <v>1</v>
      </c>
      <c r="K80">
        <f t="shared" si="2"/>
        <v>1</v>
      </c>
    </row>
    <row r="81" spans="3:11">
      <c r="C81" t="s">
        <v>41</v>
      </c>
      <c r="D81">
        <f t="shared" ref="D81:K81" si="3">COUNTA(D72:D76,D7:D9,D10:D14,D17:D21,D28:D32)</f>
        <v>0</v>
      </c>
      <c r="E81">
        <f t="shared" si="3"/>
        <v>2</v>
      </c>
      <c r="F81">
        <f t="shared" si="3"/>
        <v>2</v>
      </c>
      <c r="G81">
        <f t="shared" si="3"/>
        <v>5</v>
      </c>
      <c r="H81">
        <f t="shared" si="3"/>
        <v>4</v>
      </c>
      <c r="I81">
        <f t="shared" si="3"/>
        <v>2</v>
      </c>
      <c r="J81">
        <f t="shared" si="3"/>
        <v>5</v>
      </c>
      <c r="K81">
        <f t="shared" si="3"/>
        <v>7</v>
      </c>
    </row>
  </sheetData>
  <sortState xmlns:xlrd2="http://schemas.microsoft.com/office/spreadsheetml/2017/richdata2" ref="A3:K76">
    <sortCondition ref="A3:A76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E1DE-ABE4-4DFB-B159-95D3CAEF7C95}">
  <dimension ref="A1:AB70"/>
  <sheetViews>
    <sheetView workbookViewId="0"/>
  </sheetViews>
  <sheetFormatPr baseColWidth="10" defaultColWidth="9.09765625" defaultRowHeight="13.2"/>
  <cols>
    <col min="1" max="1" width="18" style="21" customWidth="1"/>
    <col min="2" max="2" width="22.69921875" style="22" customWidth="1"/>
    <col min="3" max="3" width="21.8984375" style="22" customWidth="1"/>
    <col min="4" max="12" width="5.3984375" style="39" customWidth="1"/>
    <col min="13" max="15" width="5.3984375" style="40" customWidth="1"/>
    <col min="16" max="27" width="5.3984375" style="39" customWidth="1"/>
    <col min="28" max="16384" width="9.09765625" style="21"/>
  </cols>
  <sheetData>
    <row r="1" spans="1:28">
      <c r="D1" s="78" t="s">
        <v>0</v>
      </c>
      <c r="E1" s="78"/>
      <c r="F1" s="78"/>
      <c r="G1" s="78" t="s">
        <v>1</v>
      </c>
      <c r="H1" s="78"/>
      <c r="I1" s="78"/>
      <c r="J1" s="78" t="s">
        <v>2</v>
      </c>
      <c r="K1" s="78"/>
      <c r="L1" s="78"/>
      <c r="M1" s="79" t="s">
        <v>3</v>
      </c>
      <c r="N1" s="79"/>
      <c r="O1" s="79"/>
      <c r="P1" s="78" t="s">
        <v>4</v>
      </c>
      <c r="Q1" s="78"/>
      <c r="R1" s="78"/>
      <c r="S1" s="78" t="s">
        <v>5</v>
      </c>
      <c r="T1" s="78"/>
      <c r="U1" s="78"/>
      <c r="V1" s="78" t="s">
        <v>6</v>
      </c>
      <c r="W1" s="78"/>
      <c r="X1" s="78"/>
      <c r="Y1" s="78" t="s">
        <v>7</v>
      </c>
      <c r="Z1" s="78"/>
      <c r="AA1" s="78"/>
    </row>
    <row r="2" spans="1:28" s="27" customFormat="1">
      <c r="A2" s="23" t="s">
        <v>173</v>
      </c>
      <c r="B2" s="24" t="s">
        <v>174</v>
      </c>
      <c r="C2" s="24" t="s">
        <v>175</v>
      </c>
      <c r="D2" s="25" t="s">
        <v>176</v>
      </c>
      <c r="E2" s="25" t="s">
        <v>177</v>
      </c>
      <c r="F2" s="25" t="s">
        <v>178</v>
      </c>
      <c r="G2" s="25" t="s">
        <v>179</v>
      </c>
      <c r="H2" s="25" t="s">
        <v>180</v>
      </c>
      <c r="I2" s="25" t="s">
        <v>181</v>
      </c>
      <c r="J2" s="25" t="s">
        <v>182</v>
      </c>
      <c r="K2" s="25" t="s">
        <v>183</v>
      </c>
      <c r="L2" s="25" t="s">
        <v>184</v>
      </c>
      <c r="M2" s="26" t="s">
        <v>185</v>
      </c>
      <c r="N2" s="26" t="s">
        <v>186</v>
      </c>
      <c r="O2" s="26" t="s">
        <v>187</v>
      </c>
      <c r="P2" s="25" t="s">
        <v>188</v>
      </c>
      <c r="Q2" s="25" t="s">
        <v>189</v>
      </c>
      <c r="R2" s="25" t="s">
        <v>190</v>
      </c>
      <c r="S2" s="25" t="s">
        <v>191</v>
      </c>
      <c r="T2" s="25" t="s">
        <v>192</v>
      </c>
      <c r="U2" s="25" t="s">
        <v>193</v>
      </c>
      <c r="V2" s="25" t="s">
        <v>194</v>
      </c>
      <c r="W2" s="25" t="s">
        <v>195</v>
      </c>
      <c r="X2" s="25" t="s">
        <v>196</v>
      </c>
      <c r="Y2" s="25" t="s">
        <v>197</v>
      </c>
      <c r="Z2" s="25" t="s">
        <v>198</v>
      </c>
      <c r="AA2" s="25" t="s">
        <v>199</v>
      </c>
    </row>
    <row r="3" spans="1:28">
      <c r="A3" s="28" t="s">
        <v>200</v>
      </c>
      <c r="B3" s="29" t="s">
        <v>201</v>
      </c>
      <c r="C3" s="29" t="s">
        <v>202</v>
      </c>
      <c r="D3" s="30"/>
      <c r="E3" s="30"/>
      <c r="F3" s="30"/>
      <c r="G3" s="30" t="s">
        <v>203</v>
      </c>
      <c r="H3" s="30" t="s">
        <v>203</v>
      </c>
      <c r="I3" s="30" t="s">
        <v>203</v>
      </c>
      <c r="J3" s="30" t="s">
        <v>203</v>
      </c>
      <c r="K3" s="30" t="s">
        <v>203</v>
      </c>
      <c r="L3" s="30" t="s">
        <v>203</v>
      </c>
      <c r="M3" s="31" t="s">
        <v>203</v>
      </c>
      <c r="N3" s="31" t="s">
        <v>203</v>
      </c>
      <c r="O3" s="31" t="s">
        <v>203</v>
      </c>
      <c r="P3" s="30" t="s">
        <v>203</v>
      </c>
      <c r="Q3" s="30" t="s">
        <v>203</v>
      </c>
      <c r="R3" s="30" t="s">
        <v>203</v>
      </c>
      <c r="S3" s="30" t="s">
        <v>203</v>
      </c>
      <c r="T3" s="30" t="s">
        <v>203</v>
      </c>
      <c r="U3" s="30" t="s">
        <v>203</v>
      </c>
      <c r="V3" s="30" t="s">
        <v>203</v>
      </c>
      <c r="W3" s="30" t="s">
        <v>203</v>
      </c>
      <c r="X3" s="30" t="s">
        <v>203</v>
      </c>
      <c r="Y3" s="30" t="s">
        <v>203</v>
      </c>
      <c r="Z3" s="30"/>
      <c r="AA3" s="30" t="s">
        <v>203</v>
      </c>
      <c r="AB3" s="21">
        <f>COUNTIF(D3:AA3,"=x")</f>
        <v>20</v>
      </c>
    </row>
    <row r="4" spans="1:28" s="34" customFormat="1">
      <c r="A4" s="32" t="s">
        <v>200</v>
      </c>
      <c r="B4" s="33" t="s">
        <v>204</v>
      </c>
      <c r="C4" s="33" t="s">
        <v>205</v>
      </c>
      <c r="D4" s="25"/>
      <c r="E4" s="25"/>
      <c r="F4" s="25"/>
      <c r="G4" s="25" t="s">
        <v>203</v>
      </c>
      <c r="H4" s="25"/>
      <c r="I4" s="25" t="s">
        <v>203</v>
      </c>
      <c r="J4" s="25"/>
      <c r="K4" s="25"/>
      <c r="L4" s="25" t="s">
        <v>203</v>
      </c>
      <c r="M4" s="26" t="s">
        <v>203</v>
      </c>
      <c r="N4" s="26"/>
      <c r="O4" s="26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1">
        <f t="shared" ref="AB4:AB35" si="0">COUNTIF(D4:AA4,"=x")</f>
        <v>4</v>
      </c>
    </row>
    <row r="5" spans="1:28">
      <c r="A5" s="35" t="s">
        <v>206</v>
      </c>
      <c r="B5" s="29" t="s">
        <v>207</v>
      </c>
      <c r="C5" s="29" t="s">
        <v>208</v>
      </c>
      <c r="D5" s="30"/>
      <c r="E5" s="30"/>
      <c r="F5" s="30"/>
      <c r="G5" s="30" t="s">
        <v>203</v>
      </c>
      <c r="H5" s="30" t="s">
        <v>203</v>
      </c>
      <c r="I5" s="30" t="s">
        <v>203</v>
      </c>
      <c r="J5" s="30" t="s">
        <v>203</v>
      </c>
      <c r="K5" s="30" t="s">
        <v>203</v>
      </c>
      <c r="L5" s="30" t="s">
        <v>203</v>
      </c>
      <c r="M5" s="31" t="s">
        <v>203</v>
      </c>
      <c r="N5" s="31" t="s">
        <v>203</v>
      </c>
      <c r="O5" s="31" t="s">
        <v>203</v>
      </c>
      <c r="P5" s="30" t="s">
        <v>203</v>
      </c>
      <c r="Q5" s="30" t="s">
        <v>203</v>
      </c>
      <c r="R5" s="30" t="s">
        <v>203</v>
      </c>
      <c r="S5" s="30"/>
      <c r="T5" s="30"/>
      <c r="U5" s="30" t="s">
        <v>203</v>
      </c>
      <c r="V5" s="30"/>
      <c r="W5" s="30" t="s">
        <v>203</v>
      </c>
      <c r="X5" s="30" t="s">
        <v>203</v>
      </c>
      <c r="Y5" s="30" t="s">
        <v>203</v>
      </c>
      <c r="Z5" s="30"/>
      <c r="AA5" s="30" t="s">
        <v>203</v>
      </c>
      <c r="AB5" s="21">
        <f t="shared" si="0"/>
        <v>17</v>
      </c>
    </row>
    <row r="6" spans="1:28">
      <c r="A6" s="32" t="s">
        <v>206</v>
      </c>
      <c r="B6" s="29" t="s">
        <v>207</v>
      </c>
      <c r="C6" s="29" t="s">
        <v>122</v>
      </c>
      <c r="D6" s="30"/>
      <c r="E6" s="30"/>
      <c r="F6" s="30"/>
      <c r="G6" s="30"/>
      <c r="H6" s="30"/>
      <c r="I6" s="30"/>
      <c r="J6" s="30"/>
      <c r="K6" s="30"/>
      <c r="L6" s="30"/>
      <c r="M6" s="31"/>
      <c r="N6" s="31"/>
      <c r="O6" s="31"/>
      <c r="P6" s="30"/>
      <c r="Q6" s="30"/>
      <c r="R6" s="30"/>
      <c r="S6" s="30"/>
      <c r="T6" s="30"/>
      <c r="U6" s="30"/>
      <c r="V6" s="30"/>
      <c r="W6" s="30"/>
      <c r="X6" s="30" t="s">
        <v>203</v>
      </c>
      <c r="Y6" s="30" t="s">
        <v>203</v>
      </c>
      <c r="Z6" s="30"/>
      <c r="AA6" s="30" t="s">
        <v>203</v>
      </c>
      <c r="AB6" s="21">
        <f t="shared" si="0"/>
        <v>3</v>
      </c>
    </row>
    <row r="7" spans="1:28">
      <c r="A7" s="32" t="s">
        <v>206</v>
      </c>
      <c r="B7" s="29" t="s">
        <v>207</v>
      </c>
      <c r="C7" s="29" t="s">
        <v>209</v>
      </c>
      <c r="D7" s="30"/>
      <c r="E7" s="30" t="s">
        <v>203</v>
      </c>
      <c r="F7" s="30"/>
      <c r="G7" s="30"/>
      <c r="H7" s="30"/>
      <c r="I7" s="30"/>
      <c r="J7" s="30"/>
      <c r="K7" s="30"/>
      <c r="L7" s="30"/>
      <c r="M7" s="31" t="s">
        <v>203</v>
      </c>
      <c r="N7" s="31" t="s">
        <v>203</v>
      </c>
      <c r="O7" s="31" t="s">
        <v>203</v>
      </c>
      <c r="P7" s="30"/>
      <c r="Q7" s="30" t="s">
        <v>203</v>
      </c>
      <c r="R7" s="30"/>
      <c r="S7" s="30"/>
      <c r="T7" s="30"/>
      <c r="U7" s="30"/>
      <c r="V7" s="30" t="s">
        <v>203</v>
      </c>
      <c r="W7" s="30" t="s">
        <v>203</v>
      </c>
      <c r="X7" s="30" t="s">
        <v>203</v>
      </c>
      <c r="Y7" s="30"/>
      <c r="Z7" s="30" t="s">
        <v>203</v>
      </c>
      <c r="AA7" s="30" t="s">
        <v>203</v>
      </c>
      <c r="AB7" s="21">
        <f t="shared" si="0"/>
        <v>10</v>
      </c>
    </row>
    <row r="8" spans="1:28">
      <c r="A8" s="32" t="s">
        <v>206</v>
      </c>
      <c r="B8" s="29" t="s">
        <v>207</v>
      </c>
      <c r="C8" s="29" t="s">
        <v>210</v>
      </c>
      <c r="D8" s="30"/>
      <c r="E8" s="30"/>
      <c r="F8" s="30" t="s">
        <v>203</v>
      </c>
      <c r="G8" s="30" t="s">
        <v>203</v>
      </c>
      <c r="H8" s="30" t="s">
        <v>203</v>
      </c>
      <c r="I8" s="30" t="s">
        <v>203</v>
      </c>
      <c r="J8" s="30"/>
      <c r="K8" s="30"/>
      <c r="L8" s="30"/>
      <c r="M8" s="31" t="s">
        <v>203</v>
      </c>
      <c r="N8" s="31" t="s">
        <v>203</v>
      </c>
      <c r="O8" s="31" t="s">
        <v>203</v>
      </c>
      <c r="P8" s="30" t="s">
        <v>203</v>
      </c>
      <c r="Q8" s="30" t="s">
        <v>203</v>
      </c>
      <c r="R8" s="30" t="s">
        <v>203</v>
      </c>
      <c r="S8" s="30" t="s">
        <v>203</v>
      </c>
      <c r="T8" s="30" t="s">
        <v>203</v>
      </c>
      <c r="U8" s="30" t="s">
        <v>203</v>
      </c>
      <c r="V8" s="30" t="s">
        <v>203</v>
      </c>
      <c r="W8" s="30" t="s">
        <v>203</v>
      </c>
      <c r="X8" s="30" t="s">
        <v>203</v>
      </c>
      <c r="Y8" s="30" t="s">
        <v>203</v>
      </c>
      <c r="Z8" s="30"/>
      <c r="AA8" s="30"/>
      <c r="AB8" s="21">
        <f t="shared" si="0"/>
        <v>17</v>
      </c>
    </row>
    <row r="9" spans="1:28">
      <c r="A9" s="32" t="s">
        <v>206</v>
      </c>
      <c r="B9" s="29" t="s">
        <v>207</v>
      </c>
      <c r="C9" s="29" t="s">
        <v>211</v>
      </c>
      <c r="D9" s="30"/>
      <c r="E9" s="30"/>
      <c r="F9" s="30"/>
      <c r="G9" s="30"/>
      <c r="H9" s="30"/>
      <c r="I9" s="30"/>
      <c r="J9" s="30" t="s">
        <v>203</v>
      </c>
      <c r="K9" s="30"/>
      <c r="L9" s="30"/>
      <c r="M9" s="31" t="s">
        <v>203</v>
      </c>
      <c r="N9" s="31"/>
      <c r="O9" s="31"/>
      <c r="P9" s="30"/>
      <c r="Q9" s="30"/>
      <c r="R9" s="30"/>
      <c r="S9" s="30"/>
      <c r="T9" s="30"/>
      <c r="U9" s="30"/>
      <c r="V9" s="30" t="s">
        <v>203</v>
      </c>
      <c r="W9" s="30"/>
      <c r="X9" s="30"/>
      <c r="Y9" s="30"/>
      <c r="Z9" s="30"/>
      <c r="AA9" s="30"/>
      <c r="AB9" s="21">
        <f t="shared" si="0"/>
        <v>3</v>
      </c>
    </row>
    <row r="10" spans="1:28">
      <c r="A10" s="32" t="s">
        <v>206</v>
      </c>
      <c r="B10" s="29" t="s">
        <v>207</v>
      </c>
      <c r="C10" s="29" t="s">
        <v>212</v>
      </c>
      <c r="D10" s="30" t="s">
        <v>203</v>
      </c>
      <c r="E10" s="30" t="s">
        <v>203</v>
      </c>
      <c r="F10" s="30" t="s">
        <v>203</v>
      </c>
      <c r="G10" s="30"/>
      <c r="H10" s="30"/>
      <c r="I10" s="30"/>
      <c r="J10" s="30"/>
      <c r="K10" s="30" t="s">
        <v>203</v>
      </c>
      <c r="L10" s="30"/>
      <c r="M10" s="31" t="s">
        <v>203</v>
      </c>
      <c r="N10" s="31" t="s">
        <v>203</v>
      </c>
      <c r="O10" s="31" t="s">
        <v>203</v>
      </c>
      <c r="P10" s="30"/>
      <c r="Q10" s="30" t="s">
        <v>203</v>
      </c>
      <c r="R10" s="30"/>
      <c r="S10" s="30"/>
      <c r="T10" s="30"/>
      <c r="U10" s="30" t="s">
        <v>203</v>
      </c>
      <c r="V10" s="30" t="s">
        <v>203</v>
      </c>
      <c r="W10" s="30"/>
      <c r="X10" s="30" t="s">
        <v>203</v>
      </c>
      <c r="Y10" s="30" t="s">
        <v>203</v>
      </c>
      <c r="Z10" s="30" t="s">
        <v>203</v>
      </c>
      <c r="AA10" s="30" t="s">
        <v>203</v>
      </c>
      <c r="AB10" s="21">
        <f t="shared" si="0"/>
        <v>14</v>
      </c>
    </row>
    <row r="11" spans="1:28">
      <c r="A11" s="32" t="s">
        <v>206</v>
      </c>
      <c r="B11" s="29" t="s">
        <v>207</v>
      </c>
      <c r="C11" s="29" t="s">
        <v>213</v>
      </c>
      <c r="D11" s="30" t="s">
        <v>203</v>
      </c>
      <c r="E11" s="30" t="s">
        <v>203</v>
      </c>
      <c r="F11" s="30" t="s">
        <v>203</v>
      </c>
      <c r="G11" s="30" t="s">
        <v>203</v>
      </c>
      <c r="H11" s="30" t="s">
        <v>203</v>
      </c>
      <c r="I11" s="30" t="s">
        <v>203</v>
      </c>
      <c r="J11" s="30" t="s">
        <v>203</v>
      </c>
      <c r="K11" s="30" t="s">
        <v>203</v>
      </c>
      <c r="L11" s="30" t="s">
        <v>203</v>
      </c>
      <c r="M11" s="31" t="s">
        <v>203</v>
      </c>
      <c r="N11" s="31" t="s">
        <v>203</v>
      </c>
      <c r="O11" s="31" t="s">
        <v>203</v>
      </c>
      <c r="P11" s="30" t="s">
        <v>203</v>
      </c>
      <c r="Q11" s="30" t="s">
        <v>203</v>
      </c>
      <c r="R11" s="30" t="s">
        <v>203</v>
      </c>
      <c r="S11" s="30" t="s">
        <v>203</v>
      </c>
      <c r="T11" s="30" t="s">
        <v>203</v>
      </c>
      <c r="U11" s="30" t="s">
        <v>203</v>
      </c>
      <c r="V11" s="30"/>
      <c r="W11" s="30" t="s">
        <v>203</v>
      </c>
      <c r="X11" s="30" t="s">
        <v>203</v>
      </c>
      <c r="Y11" s="30" t="s">
        <v>203</v>
      </c>
      <c r="Z11" s="30"/>
      <c r="AA11" s="30" t="s">
        <v>203</v>
      </c>
      <c r="AB11" s="21">
        <f t="shared" si="0"/>
        <v>22</v>
      </c>
    </row>
    <row r="12" spans="1:28">
      <c r="A12" s="32" t="s">
        <v>206</v>
      </c>
      <c r="B12" s="29" t="s">
        <v>207</v>
      </c>
      <c r="C12" s="29" t="s">
        <v>214</v>
      </c>
      <c r="D12" s="30"/>
      <c r="E12" s="30"/>
      <c r="F12" s="30"/>
      <c r="G12" s="30"/>
      <c r="H12" s="30"/>
      <c r="I12" s="30" t="s">
        <v>203</v>
      </c>
      <c r="J12" s="30"/>
      <c r="K12" s="30"/>
      <c r="L12" s="30"/>
      <c r="M12" s="31"/>
      <c r="N12" s="31"/>
      <c r="O12" s="31"/>
      <c r="P12" s="30"/>
      <c r="Q12" s="30" t="s">
        <v>203</v>
      </c>
      <c r="R12" s="30"/>
      <c r="S12" s="30"/>
      <c r="T12" s="30"/>
      <c r="U12" s="30"/>
      <c r="V12" s="30" t="s">
        <v>203</v>
      </c>
      <c r="W12" s="30"/>
      <c r="X12" s="30" t="s">
        <v>203</v>
      </c>
      <c r="Y12" s="30"/>
      <c r="Z12" s="30"/>
      <c r="AA12" s="30" t="s">
        <v>203</v>
      </c>
      <c r="AB12" s="21">
        <f t="shared" si="0"/>
        <v>5</v>
      </c>
    </row>
    <row r="13" spans="1:28">
      <c r="A13" s="32" t="s">
        <v>206</v>
      </c>
      <c r="B13" s="29" t="s">
        <v>207</v>
      </c>
      <c r="C13" s="29" t="s">
        <v>215</v>
      </c>
      <c r="D13" s="30" t="s">
        <v>203</v>
      </c>
      <c r="E13" s="30" t="s">
        <v>203</v>
      </c>
      <c r="F13" s="30" t="s">
        <v>203</v>
      </c>
      <c r="G13" s="30"/>
      <c r="H13" s="30"/>
      <c r="I13" s="30" t="s">
        <v>203</v>
      </c>
      <c r="J13" s="30" t="s">
        <v>203</v>
      </c>
      <c r="K13" s="30" t="s">
        <v>203</v>
      </c>
      <c r="L13" s="30" t="s">
        <v>203</v>
      </c>
      <c r="M13" s="31" t="s">
        <v>203</v>
      </c>
      <c r="N13" s="31" t="s">
        <v>203</v>
      </c>
      <c r="O13" s="31" t="s">
        <v>203</v>
      </c>
      <c r="P13" s="30"/>
      <c r="Q13" s="30" t="s">
        <v>203</v>
      </c>
      <c r="R13" s="30" t="s">
        <v>203</v>
      </c>
      <c r="S13" s="30"/>
      <c r="T13" s="30"/>
      <c r="U13" s="30" t="s">
        <v>203</v>
      </c>
      <c r="V13" s="30" t="s">
        <v>203</v>
      </c>
      <c r="W13" s="30" t="s">
        <v>203</v>
      </c>
      <c r="X13" s="30" t="s">
        <v>203</v>
      </c>
      <c r="Y13" s="30" t="s">
        <v>203</v>
      </c>
      <c r="Z13" s="30"/>
      <c r="AA13" s="30" t="s">
        <v>203</v>
      </c>
      <c r="AB13" s="21">
        <f t="shared" si="0"/>
        <v>18</v>
      </c>
    </row>
    <row r="14" spans="1:28">
      <c r="A14" s="32" t="s">
        <v>206</v>
      </c>
      <c r="B14" s="29" t="s">
        <v>207</v>
      </c>
      <c r="C14" s="29" t="s">
        <v>216</v>
      </c>
      <c r="D14" s="30"/>
      <c r="E14" s="30"/>
      <c r="F14" s="30" t="s">
        <v>203</v>
      </c>
      <c r="G14" s="30" t="s">
        <v>203</v>
      </c>
      <c r="H14" s="30"/>
      <c r="I14" s="30"/>
      <c r="J14" s="30"/>
      <c r="K14" s="30"/>
      <c r="L14" s="30" t="s">
        <v>203</v>
      </c>
      <c r="M14" s="31" t="s">
        <v>203</v>
      </c>
      <c r="N14" s="31" t="s">
        <v>203</v>
      </c>
      <c r="O14" s="31" t="s">
        <v>203</v>
      </c>
      <c r="P14" s="30"/>
      <c r="Q14" s="30"/>
      <c r="R14" s="30"/>
      <c r="S14" s="30" t="s">
        <v>203</v>
      </c>
      <c r="T14" s="30"/>
      <c r="U14" s="30" t="s">
        <v>203</v>
      </c>
      <c r="V14" s="30"/>
      <c r="W14" s="30" t="s">
        <v>203</v>
      </c>
      <c r="X14" s="30" t="s">
        <v>203</v>
      </c>
      <c r="Y14" s="30"/>
      <c r="Z14" s="30"/>
      <c r="AA14" s="30"/>
      <c r="AB14" s="21">
        <f t="shared" si="0"/>
        <v>10</v>
      </c>
    </row>
    <row r="15" spans="1:28">
      <c r="A15" s="32" t="s">
        <v>206</v>
      </c>
      <c r="B15" s="29" t="s">
        <v>207</v>
      </c>
      <c r="C15" s="29" t="s">
        <v>217</v>
      </c>
      <c r="D15" s="30"/>
      <c r="E15" s="30"/>
      <c r="F15" s="30"/>
      <c r="G15" s="30"/>
      <c r="H15" s="30"/>
      <c r="I15" s="30"/>
      <c r="J15" s="30"/>
      <c r="K15" s="30"/>
      <c r="L15" s="30"/>
      <c r="M15" s="31" t="s">
        <v>203</v>
      </c>
      <c r="N15" s="31"/>
      <c r="O15" s="31" t="s">
        <v>203</v>
      </c>
      <c r="P15" s="30"/>
      <c r="Q15" s="30"/>
      <c r="R15" s="30"/>
      <c r="S15" s="30"/>
      <c r="T15" s="30"/>
      <c r="U15" s="30" t="s">
        <v>203</v>
      </c>
      <c r="V15" s="30" t="s">
        <v>203</v>
      </c>
      <c r="W15" s="30"/>
      <c r="X15" s="30"/>
      <c r="Y15" s="30" t="s">
        <v>203</v>
      </c>
      <c r="Z15" s="30" t="s">
        <v>203</v>
      </c>
      <c r="AA15" s="30" t="s">
        <v>203</v>
      </c>
      <c r="AB15" s="21">
        <f t="shared" si="0"/>
        <v>7</v>
      </c>
    </row>
    <row r="16" spans="1:28">
      <c r="A16" s="32" t="s">
        <v>206</v>
      </c>
      <c r="B16" s="36" t="s">
        <v>207</v>
      </c>
      <c r="C16" s="36" t="s">
        <v>218</v>
      </c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38"/>
      <c r="O16" s="38" t="s">
        <v>203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 t="s">
        <v>203</v>
      </c>
      <c r="AA16" s="37" t="s">
        <v>203</v>
      </c>
      <c r="AB16" s="21">
        <f t="shared" si="0"/>
        <v>3</v>
      </c>
    </row>
    <row r="17" spans="1:28">
      <c r="A17" s="32" t="s">
        <v>219</v>
      </c>
      <c r="B17" s="29" t="s">
        <v>220</v>
      </c>
      <c r="C17" s="29" t="s">
        <v>221</v>
      </c>
      <c r="D17" s="30"/>
      <c r="E17" s="30"/>
      <c r="F17" s="30"/>
      <c r="G17" s="30"/>
      <c r="H17" s="30"/>
      <c r="I17" s="30"/>
      <c r="J17" s="30" t="s">
        <v>203</v>
      </c>
      <c r="K17" s="30"/>
      <c r="L17" s="30"/>
      <c r="M17" s="31"/>
      <c r="N17" s="31"/>
      <c r="O17" s="31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21">
        <f t="shared" si="0"/>
        <v>1</v>
      </c>
    </row>
    <row r="18" spans="1:28">
      <c r="A18" s="32" t="s">
        <v>219</v>
      </c>
      <c r="B18" s="29" t="s">
        <v>201</v>
      </c>
      <c r="C18" s="29" t="s">
        <v>222</v>
      </c>
      <c r="D18" s="30"/>
      <c r="E18" s="30"/>
      <c r="F18" s="30"/>
      <c r="G18" s="30" t="s">
        <v>203</v>
      </c>
      <c r="H18" s="30"/>
      <c r="I18" s="30"/>
      <c r="J18" s="30"/>
      <c r="K18" s="30"/>
      <c r="L18" s="30"/>
      <c r="M18" s="31"/>
      <c r="N18" s="31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21">
        <f t="shared" si="0"/>
        <v>1</v>
      </c>
    </row>
    <row r="19" spans="1:28">
      <c r="A19" s="32" t="s">
        <v>219</v>
      </c>
      <c r="B19" s="36" t="s">
        <v>201</v>
      </c>
      <c r="C19" s="36" t="s">
        <v>223</v>
      </c>
      <c r="D19" s="37"/>
      <c r="E19" s="37"/>
      <c r="F19" s="37"/>
      <c r="G19" s="37"/>
      <c r="H19" s="37"/>
      <c r="I19" s="37" t="s">
        <v>203</v>
      </c>
      <c r="J19" s="37"/>
      <c r="K19" s="37"/>
      <c r="L19" s="37"/>
      <c r="M19" s="38"/>
      <c r="N19" s="38"/>
      <c r="O19" s="38"/>
      <c r="P19" s="37" t="s">
        <v>203</v>
      </c>
      <c r="Q19" s="37"/>
      <c r="R19" s="37"/>
      <c r="S19" s="37"/>
      <c r="T19" s="37"/>
      <c r="U19" s="37"/>
      <c r="V19" s="37"/>
      <c r="W19" s="37"/>
      <c r="X19" s="37"/>
      <c r="Y19" s="37" t="s">
        <v>203</v>
      </c>
      <c r="Z19" s="37"/>
      <c r="AA19" s="37"/>
      <c r="AB19" s="21">
        <f t="shared" si="0"/>
        <v>3</v>
      </c>
    </row>
    <row r="20" spans="1:28">
      <c r="A20" s="32" t="s">
        <v>224</v>
      </c>
      <c r="B20" s="29" t="s">
        <v>220</v>
      </c>
      <c r="C20" s="29" t="s">
        <v>225</v>
      </c>
      <c r="D20" s="30"/>
      <c r="E20" s="30"/>
      <c r="F20" s="30"/>
      <c r="G20" s="30" t="s">
        <v>203</v>
      </c>
      <c r="H20" s="30"/>
      <c r="I20" s="30"/>
      <c r="J20" s="30"/>
      <c r="K20" s="30"/>
      <c r="L20" s="30"/>
      <c r="M20" s="31"/>
      <c r="N20" s="31"/>
      <c r="O20" s="31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21">
        <f t="shared" si="0"/>
        <v>1</v>
      </c>
    </row>
    <row r="21" spans="1:28">
      <c r="A21" s="32" t="s">
        <v>224</v>
      </c>
      <c r="B21" s="29" t="s">
        <v>226</v>
      </c>
      <c r="C21" s="29" t="s">
        <v>227</v>
      </c>
      <c r="D21" s="30"/>
      <c r="E21" s="30"/>
      <c r="F21" s="30"/>
      <c r="G21" s="30" t="s">
        <v>203</v>
      </c>
      <c r="H21" s="30"/>
      <c r="I21" s="30" t="s">
        <v>203</v>
      </c>
      <c r="J21" s="30" t="s">
        <v>203</v>
      </c>
      <c r="K21" s="30" t="s">
        <v>203</v>
      </c>
      <c r="L21" s="30" t="s">
        <v>203</v>
      </c>
      <c r="M21" s="31" t="s">
        <v>203</v>
      </c>
      <c r="N21" s="31"/>
      <c r="O21" s="31" t="s">
        <v>203</v>
      </c>
      <c r="P21" s="30" t="s">
        <v>203</v>
      </c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21">
        <f t="shared" si="0"/>
        <v>8</v>
      </c>
    </row>
    <row r="22" spans="1:28">
      <c r="A22" s="32" t="s">
        <v>224</v>
      </c>
      <c r="B22" s="29" t="s">
        <v>226</v>
      </c>
      <c r="C22" s="29" t="s">
        <v>228</v>
      </c>
      <c r="D22" s="30"/>
      <c r="E22" s="30"/>
      <c r="F22" s="30"/>
      <c r="G22" s="30"/>
      <c r="H22" s="30"/>
      <c r="I22" s="30"/>
      <c r="J22" s="30"/>
      <c r="K22" s="30" t="s">
        <v>203</v>
      </c>
      <c r="L22" s="30"/>
      <c r="M22" s="31"/>
      <c r="N22" s="31"/>
      <c r="O22" s="31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1">
        <f t="shared" si="0"/>
        <v>1</v>
      </c>
    </row>
    <row r="23" spans="1:28">
      <c r="A23" s="32" t="s">
        <v>224</v>
      </c>
      <c r="B23" s="29" t="s">
        <v>226</v>
      </c>
      <c r="C23" s="29" t="s">
        <v>229</v>
      </c>
      <c r="D23" s="30"/>
      <c r="E23" s="30"/>
      <c r="F23" s="30"/>
      <c r="G23" s="30"/>
      <c r="H23" s="30" t="s">
        <v>203</v>
      </c>
      <c r="I23" s="30"/>
      <c r="J23" s="30"/>
      <c r="K23" s="30"/>
      <c r="L23" s="30"/>
      <c r="M23" s="31"/>
      <c r="N23" s="31"/>
      <c r="O23" s="31"/>
      <c r="P23" s="30" t="s">
        <v>203</v>
      </c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21">
        <f t="shared" si="0"/>
        <v>2</v>
      </c>
    </row>
    <row r="24" spans="1:28">
      <c r="A24" s="32" t="s">
        <v>224</v>
      </c>
      <c r="B24" s="29" t="s">
        <v>201</v>
      </c>
      <c r="C24" s="29" t="s">
        <v>230</v>
      </c>
      <c r="D24" s="30"/>
      <c r="E24" s="30"/>
      <c r="F24" s="30"/>
      <c r="G24" s="30"/>
      <c r="H24" s="30"/>
      <c r="I24" s="30"/>
      <c r="J24" s="30" t="s">
        <v>203</v>
      </c>
      <c r="K24" s="30"/>
      <c r="L24" s="30"/>
      <c r="M24" s="31"/>
      <c r="N24" s="31"/>
      <c r="O24" s="31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21">
        <f t="shared" si="0"/>
        <v>1</v>
      </c>
    </row>
    <row r="25" spans="1:28">
      <c r="A25" s="32" t="s">
        <v>224</v>
      </c>
      <c r="B25" s="29" t="s">
        <v>231</v>
      </c>
      <c r="C25" s="29" t="s">
        <v>232</v>
      </c>
      <c r="D25" s="30"/>
      <c r="E25" s="30"/>
      <c r="F25" s="30"/>
      <c r="G25" s="30"/>
      <c r="H25" s="30"/>
      <c r="I25" s="30" t="s">
        <v>203</v>
      </c>
      <c r="J25" s="30"/>
      <c r="K25" s="30"/>
      <c r="L25" s="30"/>
      <c r="M25" s="31"/>
      <c r="N25" s="31"/>
      <c r="O25" s="31"/>
      <c r="P25" s="30"/>
      <c r="Q25" s="30"/>
      <c r="R25" s="30"/>
      <c r="S25" s="30"/>
      <c r="T25" s="30"/>
      <c r="U25" s="30"/>
      <c r="V25" s="30"/>
      <c r="W25" s="30"/>
      <c r="X25" s="30"/>
      <c r="Y25" s="30" t="s">
        <v>203</v>
      </c>
      <c r="Z25" s="30"/>
      <c r="AA25" s="30"/>
      <c r="AB25" s="21">
        <f t="shared" si="0"/>
        <v>2</v>
      </c>
    </row>
    <row r="26" spans="1:28">
      <c r="A26" s="32" t="s">
        <v>233</v>
      </c>
      <c r="B26" s="36" t="s">
        <v>220</v>
      </c>
      <c r="C26" s="36" t="s">
        <v>234</v>
      </c>
      <c r="D26" s="37"/>
      <c r="E26" s="37"/>
      <c r="F26" s="37"/>
      <c r="G26" s="37"/>
      <c r="H26" s="37"/>
      <c r="I26" s="37"/>
      <c r="J26" s="37"/>
      <c r="K26" s="37" t="s">
        <v>203</v>
      </c>
      <c r="L26" s="37"/>
      <c r="M26" s="38"/>
      <c r="N26" s="38"/>
      <c r="O26" s="38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21">
        <f t="shared" si="0"/>
        <v>1</v>
      </c>
    </row>
    <row r="27" spans="1:28">
      <c r="A27" s="32" t="s">
        <v>235</v>
      </c>
      <c r="B27" s="29" t="s">
        <v>236</v>
      </c>
      <c r="C27" s="29" t="s">
        <v>237</v>
      </c>
      <c r="D27" s="30"/>
      <c r="E27" s="30"/>
      <c r="F27" s="30"/>
      <c r="G27" s="30" t="s">
        <v>203</v>
      </c>
      <c r="H27" s="30" t="s">
        <v>203</v>
      </c>
      <c r="I27" s="30" t="s">
        <v>203</v>
      </c>
      <c r="J27" s="30"/>
      <c r="K27" s="30"/>
      <c r="L27" s="30"/>
      <c r="M27" s="31" t="s">
        <v>203</v>
      </c>
      <c r="N27" s="31"/>
      <c r="O27" s="31"/>
      <c r="P27" s="30"/>
      <c r="Q27" s="30"/>
      <c r="R27" s="30"/>
      <c r="S27" s="30"/>
      <c r="T27" s="30"/>
      <c r="U27" s="30"/>
      <c r="V27" s="30" t="s">
        <v>203</v>
      </c>
      <c r="W27" s="30"/>
      <c r="X27" s="30" t="s">
        <v>203</v>
      </c>
      <c r="Y27" s="30" t="s">
        <v>203</v>
      </c>
      <c r="Z27" s="30"/>
      <c r="AA27" s="30" t="s">
        <v>203</v>
      </c>
      <c r="AB27" s="21">
        <f t="shared" si="0"/>
        <v>8</v>
      </c>
    </row>
    <row r="28" spans="1:28">
      <c r="A28" s="32" t="s">
        <v>235</v>
      </c>
      <c r="B28" s="36" t="s">
        <v>236</v>
      </c>
      <c r="C28" s="36" t="s">
        <v>238</v>
      </c>
      <c r="D28" s="37"/>
      <c r="E28" s="37"/>
      <c r="F28" s="37"/>
      <c r="G28" s="37"/>
      <c r="H28" s="37"/>
      <c r="I28" s="37"/>
      <c r="J28" s="37"/>
      <c r="K28" s="37" t="s">
        <v>203</v>
      </c>
      <c r="L28" s="37" t="s">
        <v>203</v>
      </c>
      <c r="M28" s="38" t="s">
        <v>203</v>
      </c>
      <c r="N28" s="38"/>
      <c r="O28" s="38"/>
      <c r="P28" s="37" t="s">
        <v>203</v>
      </c>
      <c r="Q28" s="37" t="s">
        <v>203</v>
      </c>
      <c r="R28" s="37"/>
      <c r="S28" s="37"/>
      <c r="T28" s="37"/>
      <c r="U28" s="37" t="s">
        <v>203</v>
      </c>
      <c r="V28" s="37" t="s">
        <v>203</v>
      </c>
      <c r="W28" s="37"/>
      <c r="X28" s="37"/>
      <c r="Y28" s="37" t="s">
        <v>203</v>
      </c>
      <c r="Z28" s="37" t="s">
        <v>203</v>
      </c>
      <c r="AA28" s="37"/>
      <c r="AB28" s="21">
        <f t="shared" si="0"/>
        <v>9</v>
      </c>
    </row>
    <row r="29" spans="1:28">
      <c r="A29" s="32" t="s">
        <v>239</v>
      </c>
      <c r="B29" s="29" t="s">
        <v>201</v>
      </c>
      <c r="C29" s="29" t="s">
        <v>240</v>
      </c>
      <c r="D29" s="30"/>
      <c r="E29" s="30"/>
      <c r="F29" s="30"/>
      <c r="G29" s="30"/>
      <c r="H29" s="30"/>
      <c r="I29" s="30"/>
      <c r="J29" s="30"/>
      <c r="K29" s="30"/>
      <c r="L29" s="30"/>
      <c r="M29" s="31"/>
      <c r="N29" s="31"/>
      <c r="O29" s="31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 t="s">
        <v>203</v>
      </c>
      <c r="AB29" s="21">
        <f t="shared" si="0"/>
        <v>1</v>
      </c>
    </row>
    <row r="30" spans="1:28">
      <c r="A30" s="32" t="s">
        <v>239</v>
      </c>
      <c r="B30" s="29" t="s">
        <v>201</v>
      </c>
      <c r="C30" s="29" t="s">
        <v>241</v>
      </c>
      <c r="D30" s="30" t="s">
        <v>203</v>
      </c>
      <c r="E30" s="30" t="s">
        <v>203</v>
      </c>
      <c r="F30" s="30" t="s">
        <v>203</v>
      </c>
      <c r="G30" s="30"/>
      <c r="H30" s="30" t="s">
        <v>203</v>
      </c>
      <c r="I30" s="30" t="s">
        <v>203</v>
      </c>
      <c r="J30" s="30" t="s">
        <v>203</v>
      </c>
      <c r="K30" s="30" t="s">
        <v>203</v>
      </c>
      <c r="L30" s="30" t="s">
        <v>203</v>
      </c>
      <c r="M30" s="31" t="s">
        <v>203</v>
      </c>
      <c r="N30" s="31" t="s">
        <v>203</v>
      </c>
      <c r="O30" s="31" t="s">
        <v>203</v>
      </c>
      <c r="P30" s="30" t="s">
        <v>203</v>
      </c>
      <c r="Q30" s="30" t="s">
        <v>203</v>
      </c>
      <c r="R30" s="30" t="s">
        <v>203</v>
      </c>
      <c r="S30" s="30" t="s">
        <v>203</v>
      </c>
      <c r="T30" s="30"/>
      <c r="U30" s="30" t="s">
        <v>203</v>
      </c>
      <c r="V30" s="30" t="s">
        <v>203</v>
      </c>
      <c r="W30" s="30" t="s">
        <v>203</v>
      </c>
      <c r="X30" s="30" t="s">
        <v>203</v>
      </c>
      <c r="Y30" s="30" t="s">
        <v>203</v>
      </c>
      <c r="Z30" s="30" t="s">
        <v>203</v>
      </c>
      <c r="AA30" s="30" t="s">
        <v>203</v>
      </c>
      <c r="AB30" s="21">
        <f t="shared" si="0"/>
        <v>22</v>
      </c>
    </row>
    <row r="31" spans="1:28">
      <c r="A31" s="32" t="s">
        <v>239</v>
      </c>
      <c r="B31" s="29" t="s">
        <v>201</v>
      </c>
      <c r="C31" s="29" t="s">
        <v>242</v>
      </c>
      <c r="D31" s="30"/>
      <c r="E31" s="30"/>
      <c r="F31" s="30"/>
      <c r="G31" s="30"/>
      <c r="H31" s="30"/>
      <c r="I31" s="30"/>
      <c r="J31" s="30"/>
      <c r="K31" s="30"/>
      <c r="L31" s="30"/>
      <c r="M31" s="31" t="s">
        <v>203</v>
      </c>
      <c r="N31" s="31" t="s">
        <v>203</v>
      </c>
      <c r="O31" s="31"/>
      <c r="P31" s="30"/>
      <c r="Q31" s="30"/>
      <c r="R31" s="30"/>
      <c r="S31" s="30"/>
      <c r="T31" s="30"/>
      <c r="U31" s="30"/>
      <c r="V31" s="30" t="s">
        <v>203</v>
      </c>
      <c r="W31" s="30"/>
      <c r="X31" s="30" t="s">
        <v>203</v>
      </c>
      <c r="Y31" s="30" t="s">
        <v>203</v>
      </c>
      <c r="Z31" s="30"/>
      <c r="AA31" s="30"/>
      <c r="AB31" s="21">
        <f t="shared" si="0"/>
        <v>5</v>
      </c>
    </row>
    <row r="32" spans="1:28">
      <c r="A32" s="32" t="s">
        <v>239</v>
      </c>
      <c r="B32" s="29" t="s">
        <v>201</v>
      </c>
      <c r="C32" s="29" t="s">
        <v>243</v>
      </c>
      <c r="D32" s="30"/>
      <c r="E32" s="30"/>
      <c r="F32" s="30"/>
      <c r="G32" s="30"/>
      <c r="H32" s="30"/>
      <c r="I32" s="30"/>
      <c r="J32" s="30"/>
      <c r="K32" s="30"/>
      <c r="L32" s="30"/>
      <c r="M32" s="31"/>
      <c r="N32" s="31"/>
      <c r="O32" s="31"/>
      <c r="P32" s="30"/>
      <c r="Q32" s="30"/>
      <c r="R32" s="30"/>
      <c r="S32" s="30"/>
      <c r="T32" s="30"/>
      <c r="U32" s="30"/>
      <c r="V32" s="30"/>
      <c r="W32" s="30"/>
      <c r="X32" s="30"/>
      <c r="Y32" s="30" t="s">
        <v>203</v>
      </c>
      <c r="Z32" s="30"/>
      <c r="AA32" s="30" t="s">
        <v>203</v>
      </c>
      <c r="AB32" s="21">
        <f t="shared" si="0"/>
        <v>2</v>
      </c>
    </row>
    <row r="33" spans="1:28">
      <c r="A33" s="32" t="s">
        <v>239</v>
      </c>
      <c r="B33" s="29" t="s">
        <v>201</v>
      </c>
      <c r="C33" s="29" t="s">
        <v>244</v>
      </c>
      <c r="D33" s="30"/>
      <c r="E33" s="30"/>
      <c r="F33" s="30"/>
      <c r="G33" s="30"/>
      <c r="H33" s="30"/>
      <c r="I33" s="30"/>
      <c r="J33" s="30" t="s">
        <v>203</v>
      </c>
      <c r="K33" s="30"/>
      <c r="L33" s="30" t="s">
        <v>203</v>
      </c>
      <c r="M33" s="31" t="s">
        <v>203</v>
      </c>
      <c r="N33" s="31" t="s">
        <v>203</v>
      </c>
      <c r="O33" s="31"/>
      <c r="P33" s="30" t="s">
        <v>203</v>
      </c>
      <c r="Q33" s="30"/>
      <c r="R33" s="30" t="s">
        <v>203</v>
      </c>
      <c r="S33" s="30"/>
      <c r="T33" s="30"/>
      <c r="U33" s="30"/>
      <c r="V33" s="30"/>
      <c r="W33" s="30"/>
      <c r="X33" s="30" t="s">
        <v>203</v>
      </c>
      <c r="Y33" s="30" t="s">
        <v>203</v>
      </c>
      <c r="Z33" s="30" t="s">
        <v>203</v>
      </c>
      <c r="AA33" s="30"/>
      <c r="AB33" s="21">
        <f t="shared" si="0"/>
        <v>9</v>
      </c>
    </row>
    <row r="34" spans="1:28">
      <c r="A34" s="32" t="s">
        <v>239</v>
      </c>
      <c r="B34" s="36" t="s">
        <v>201</v>
      </c>
      <c r="C34" s="36" t="s">
        <v>245</v>
      </c>
      <c r="D34" s="37" t="s">
        <v>203</v>
      </c>
      <c r="E34" s="37"/>
      <c r="F34" s="37" t="s">
        <v>203</v>
      </c>
      <c r="G34" s="37"/>
      <c r="H34" s="37"/>
      <c r="I34" s="37"/>
      <c r="J34" s="37" t="s">
        <v>203</v>
      </c>
      <c r="K34" s="37" t="s">
        <v>203</v>
      </c>
      <c r="L34" s="37" t="s">
        <v>203</v>
      </c>
      <c r="M34" s="38" t="s">
        <v>203</v>
      </c>
      <c r="N34" s="38" t="s">
        <v>203</v>
      </c>
      <c r="O34" s="38" t="s">
        <v>203</v>
      </c>
      <c r="P34" s="37"/>
      <c r="Q34" s="37"/>
      <c r="R34" s="37"/>
      <c r="S34" s="37" t="s">
        <v>203</v>
      </c>
      <c r="T34" s="37" t="s">
        <v>203</v>
      </c>
      <c r="U34" s="37" t="s">
        <v>203</v>
      </c>
      <c r="V34" s="37"/>
      <c r="W34" s="37" t="s">
        <v>203</v>
      </c>
      <c r="X34" s="37" t="s">
        <v>203</v>
      </c>
      <c r="Y34" s="37"/>
      <c r="Z34" s="37"/>
      <c r="AA34" s="37"/>
      <c r="AB34" s="21">
        <f t="shared" si="0"/>
        <v>13</v>
      </c>
    </row>
    <row r="35" spans="1:28">
      <c r="A35" s="32" t="s">
        <v>246</v>
      </c>
      <c r="B35" s="33" t="s">
        <v>207</v>
      </c>
      <c r="C35" s="33" t="s">
        <v>247</v>
      </c>
      <c r="D35" s="25"/>
      <c r="E35" s="25"/>
      <c r="F35" s="25"/>
      <c r="G35" s="25"/>
      <c r="H35" s="25"/>
      <c r="I35" s="25"/>
      <c r="J35" s="25"/>
      <c r="K35" s="25"/>
      <c r="L35" s="25"/>
      <c r="M35" s="26"/>
      <c r="N35" s="26"/>
      <c r="O35" s="26"/>
      <c r="P35" s="25"/>
      <c r="Q35" s="25"/>
      <c r="R35" s="25"/>
      <c r="S35" s="25"/>
      <c r="T35" s="25"/>
      <c r="U35" s="25"/>
      <c r="V35" s="25"/>
      <c r="W35" s="25" t="s">
        <v>203</v>
      </c>
      <c r="X35" s="25" t="s">
        <v>203</v>
      </c>
      <c r="Y35" s="25" t="s">
        <v>203</v>
      </c>
      <c r="Z35" s="25"/>
      <c r="AA35" s="25"/>
      <c r="AB35" s="21">
        <f t="shared" si="0"/>
        <v>3</v>
      </c>
    </row>
    <row r="37" spans="1:28">
      <c r="F37" s="39">
        <v>8</v>
      </c>
      <c r="I37" s="39">
        <v>16</v>
      </c>
      <c r="L37" s="39">
        <v>17</v>
      </c>
      <c r="O37" s="40">
        <v>19</v>
      </c>
      <c r="R37" s="39">
        <v>14</v>
      </c>
      <c r="U37" s="39">
        <v>11</v>
      </c>
      <c r="X37" s="39">
        <v>19</v>
      </c>
      <c r="Y37" s="39">
        <v>21</v>
      </c>
    </row>
    <row r="39" spans="1:28">
      <c r="C39" s="22">
        <f>(F37+I37+L37+O37+R37+U37+X37+Y37)/8</f>
        <v>15.625</v>
      </c>
    </row>
    <row r="40" spans="1:28" ht="13.8">
      <c r="C40" s="41"/>
      <c r="D40" s="42"/>
      <c r="E40" s="41"/>
      <c r="F40" s="43"/>
      <c r="G40" s="41"/>
      <c r="H40" s="41"/>
      <c r="I40" s="43"/>
      <c r="J40" s="41"/>
      <c r="K40" s="41"/>
      <c r="L40" s="43"/>
      <c r="M40" s="41"/>
      <c r="N40" s="41"/>
      <c r="O40" s="43"/>
      <c r="P40" s="41"/>
      <c r="Q40" s="41"/>
      <c r="R40" s="43"/>
      <c r="S40" s="41"/>
      <c r="T40" s="41"/>
      <c r="U40" s="43"/>
      <c r="V40" s="41"/>
      <c r="W40" s="41"/>
    </row>
    <row r="41" spans="1:28" ht="13.8">
      <c r="C41" s="41"/>
      <c r="D41" s="42"/>
      <c r="E41" s="41"/>
      <c r="F41" s="43"/>
      <c r="G41" s="41"/>
      <c r="H41" s="41"/>
      <c r="I41" s="43"/>
      <c r="J41" s="41"/>
      <c r="K41" s="41"/>
      <c r="L41" s="43"/>
      <c r="M41" s="41"/>
      <c r="N41" s="41"/>
      <c r="O41" s="43"/>
      <c r="P41" s="41"/>
      <c r="Q41" s="41"/>
      <c r="R41" s="43"/>
      <c r="S41" s="41"/>
      <c r="T41" s="41"/>
      <c r="U41" s="43"/>
      <c r="V41" s="41"/>
      <c r="W41" s="41"/>
    </row>
    <row r="42" spans="1:28" ht="13.8">
      <c r="C42" s="41"/>
      <c r="D42" s="42"/>
      <c r="E42" s="41"/>
      <c r="F42" s="43"/>
      <c r="G42" s="41"/>
      <c r="H42" s="41"/>
      <c r="I42" s="43"/>
      <c r="J42" s="41"/>
      <c r="K42" s="41"/>
      <c r="L42" s="43"/>
      <c r="M42" s="41"/>
      <c r="N42" s="41"/>
      <c r="O42" s="43"/>
      <c r="P42" s="41"/>
      <c r="Q42" s="41"/>
      <c r="R42" s="43"/>
      <c r="S42" s="41"/>
      <c r="T42" s="41"/>
      <c r="U42" s="43"/>
      <c r="V42" s="41"/>
      <c r="W42" s="41"/>
    </row>
    <row r="43" spans="1:28" ht="13.8">
      <c r="C43" s="41"/>
      <c r="D43" s="42"/>
      <c r="E43" s="41"/>
      <c r="F43" s="43"/>
      <c r="G43" s="41"/>
      <c r="H43" s="41"/>
      <c r="I43" s="43"/>
      <c r="J43" s="41"/>
      <c r="K43" s="41"/>
      <c r="L43" s="43"/>
      <c r="M43" s="41"/>
      <c r="N43" s="41"/>
      <c r="O43" s="43"/>
      <c r="P43" s="41"/>
      <c r="Q43" s="41"/>
      <c r="R43" s="43"/>
      <c r="S43" s="41"/>
      <c r="T43" s="41"/>
      <c r="U43" s="43"/>
      <c r="V43" s="41"/>
      <c r="W43" s="41"/>
    </row>
    <row r="44" spans="1:28" ht="13.8">
      <c r="C44" s="41"/>
      <c r="D44" s="42"/>
      <c r="E44" s="41"/>
      <c r="F44" s="43"/>
      <c r="G44" s="41"/>
      <c r="H44" s="41"/>
      <c r="I44" s="43"/>
      <c r="J44" s="41"/>
      <c r="K44" s="41"/>
      <c r="L44" s="43"/>
      <c r="M44" s="41"/>
      <c r="N44" s="41"/>
      <c r="O44" s="43"/>
      <c r="P44" s="41"/>
      <c r="Q44" s="41"/>
      <c r="R44" s="43"/>
      <c r="S44" s="41"/>
      <c r="T44" s="41"/>
      <c r="U44" s="43"/>
      <c r="V44" s="41"/>
      <c r="W44" s="41"/>
    </row>
    <row r="45" spans="1:28" ht="13.8">
      <c r="C45" s="41"/>
      <c r="D45" s="42"/>
      <c r="E45" s="41"/>
      <c r="F45" s="43"/>
      <c r="G45" s="41"/>
      <c r="H45" s="41"/>
      <c r="I45" s="43"/>
      <c r="J45" s="41"/>
      <c r="K45" s="41"/>
      <c r="L45" s="43"/>
      <c r="M45" s="41"/>
      <c r="N45" s="41"/>
      <c r="O45" s="43"/>
      <c r="P45" s="41"/>
      <c r="Q45" s="41"/>
      <c r="R45" s="43"/>
      <c r="S45" s="41"/>
      <c r="T45" s="41"/>
      <c r="U45" s="43"/>
      <c r="V45" s="41"/>
      <c r="W45" s="41"/>
    </row>
    <row r="46" spans="1:28" ht="13.8">
      <c r="C46" s="41"/>
      <c r="D46" s="42"/>
      <c r="E46" s="41"/>
      <c r="F46" s="43"/>
      <c r="G46" s="41"/>
      <c r="H46" s="41"/>
      <c r="I46" s="43"/>
      <c r="J46" s="41"/>
      <c r="K46" s="41"/>
      <c r="L46" s="43"/>
      <c r="M46" s="41"/>
      <c r="N46" s="41"/>
      <c r="O46" s="43"/>
      <c r="P46" s="41"/>
      <c r="Q46" s="41"/>
      <c r="R46" s="43"/>
      <c r="S46" s="41"/>
      <c r="T46" s="41"/>
      <c r="U46" s="43"/>
      <c r="V46" s="41"/>
      <c r="W46" s="41"/>
    </row>
    <row r="47" spans="1:28" ht="13.8">
      <c r="C47" s="41"/>
      <c r="D47" s="42"/>
      <c r="E47" s="41"/>
      <c r="F47" s="43"/>
      <c r="G47" s="41"/>
      <c r="H47" s="41"/>
      <c r="I47" s="43"/>
      <c r="J47" s="41"/>
      <c r="K47" s="41"/>
      <c r="L47" s="43"/>
      <c r="M47" s="41"/>
      <c r="N47" s="41"/>
      <c r="O47" s="43"/>
      <c r="P47" s="41"/>
      <c r="Q47" s="41"/>
      <c r="R47" s="43"/>
      <c r="S47" s="41"/>
      <c r="T47" s="41"/>
      <c r="U47" s="43"/>
      <c r="V47" s="41"/>
      <c r="W47" s="41"/>
    </row>
    <row r="48" spans="1:28" ht="13.8">
      <c r="C48" s="41"/>
      <c r="D48" s="42"/>
      <c r="E48" s="41"/>
      <c r="F48" s="43"/>
      <c r="G48" s="41"/>
      <c r="H48" s="41"/>
      <c r="I48" s="43"/>
      <c r="J48" s="41"/>
      <c r="K48" s="41"/>
      <c r="L48" s="43"/>
      <c r="M48" s="41"/>
      <c r="N48" s="41"/>
      <c r="O48" s="43"/>
      <c r="P48" s="41"/>
      <c r="Q48" s="41"/>
      <c r="R48" s="43"/>
      <c r="S48" s="41"/>
      <c r="T48" s="41"/>
      <c r="U48" s="43"/>
      <c r="V48" s="41"/>
      <c r="W48" s="41"/>
    </row>
    <row r="49" spans="3:23" ht="13.8">
      <c r="C49" s="41"/>
      <c r="D49" s="42"/>
      <c r="E49" s="41"/>
      <c r="F49" s="43"/>
      <c r="G49" s="41"/>
      <c r="H49" s="41"/>
      <c r="I49" s="43"/>
      <c r="J49" s="41"/>
      <c r="K49" s="41"/>
      <c r="L49" s="43"/>
      <c r="M49" s="41"/>
      <c r="N49" s="41"/>
      <c r="O49" s="43"/>
      <c r="P49" s="41"/>
      <c r="Q49" s="41"/>
      <c r="R49" s="43"/>
      <c r="S49" s="41"/>
      <c r="T49" s="41"/>
      <c r="U49" s="43"/>
      <c r="V49" s="41"/>
      <c r="W49" s="41"/>
    </row>
    <row r="50" spans="3:23" ht="13.8">
      <c r="C50" s="41"/>
      <c r="D50" s="42"/>
      <c r="E50" s="41"/>
      <c r="F50" s="43"/>
      <c r="G50" s="41"/>
      <c r="H50" s="41"/>
      <c r="I50" s="43"/>
      <c r="J50" s="41"/>
      <c r="K50" s="41"/>
      <c r="L50" s="43"/>
      <c r="M50" s="41"/>
      <c r="N50" s="41"/>
      <c r="O50" s="43"/>
      <c r="P50" s="41"/>
      <c r="Q50" s="41"/>
      <c r="R50" s="43"/>
      <c r="S50" s="41"/>
      <c r="T50" s="41"/>
      <c r="U50" s="43"/>
      <c r="V50" s="41"/>
      <c r="W50" s="41"/>
    </row>
    <row r="51" spans="3:23" ht="13.8">
      <c r="C51" s="41"/>
      <c r="D51" s="42"/>
      <c r="E51" s="41"/>
      <c r="F51" s="43"/>
      <c r="G51" s="41"/>
      <c r="H51" s="41"/>
      <c r="I51" s="43"/>
      <c r="J51" s="41"/>
      <c r="K51" s="41"/>
      <c r="L51" s="43"/>
      <c r="M51" s="41"/>
      <c r="N51" s="41"/>
      <c r="O51" s="43"/>
      <c r="P51" s="41"/>
      <c r="Q51" s="41"/>
      <c r="R51" s="43"/>
      <c r="S51" s="41"/>
      <c r="T51" s="41"/>
      <c r="U51" s="43"/>
      <c r="V51" s="41"/>
      <c r="W51" s="41"/>
    </row>
    <row r="52" spans="3:23" ht="13.8">
      <c r="C52" s="41"/>
      <c r="D52" s="42"/>
      <c r="E52" s="41"/>
      <c r="F52" s="43"/>
      <c r="G52" s="41"/>
      <c r="H52" s="41"/>
      <c r="I52" s="43"/>
      <c r="J52" s="41"/>
      <c r="K52" s="41"/>
      <c r="L52" s="43"/>
      <c r="M52" s="41"/>
      <c r="N52" s="41"/>
      <c r="O52" s="43"/>
      <c r="P52" s="41"/>
      <c r="Q52" s="41"/>
      <c r="R52" s="43"/>
      <c r="S52" s="41"/>
      <c r="T52" s="41"/>
      <c r="U52" s="43"/>
      <c r="V52" s="41"/>
      <c r="W52" s="41"/>
    </row>
    <row r="53" spans="3:23" ht="13.8">
      <c r="C53" s="41"/>
      <c r="D53" s="42"/>
      <c r="E53" s="41"/>
      <c r="F53" s="43"/>
      <c r="G53" s="41"/>
      <c r="H53" s="41"/>
      <c r="I53" s="43"/>
      <c r="J53" s="41"/>
      <c r="K53" s="41"/>
      <c r="L53" s="43"/>
      <c r="M53" s="41"/>
      <c r="N53" s="41"/>
      <c r="O53" s="43"/>
      <c r="P53" s="41"/>
      <c r="Q53" s="41"/>
      <c r="R53" s="43"/>
      <c r="S53" s="41"/>
      <c r="T53" s="41"/>
      <c r="U53" s="43"/>
      <c r="V53" s="41"/>
      <c r="W53" s="41"/>
    </row>
    <row r="54" spans="3:23" ht="13.8">
      <c r="C54" s="41"/>
      <c r="D54" s="42"/>
      <c r="E54" s="41"/>
      <c r="F54" s="43"/>
      <c r="G54" s="41"/>
      <c r="H54" s="41"/>
      <c r="I54" s="43"/>
      <c r="J54" s="41"/>
      <c r="K54" s="41"/>
      <c r="L54" s="43"/>
      <c r="M54" s="41"/>
      <c r="N54" s="41"/>
      <c r="O54" s="43"/>
      <c r="P54" s="41"/>
      <c r="Q54" s="41"/>
      <c r="R54" s="43"/>
      <c r="S54" s="41"/>
      <c r="T54" s="41"/>
      <c r="U54" s="43"/>
      <c r="V54" s="41"/>
      <c r="W54" s="41"/>
    </row>
    <row r="55" spans="3:23" ht="13.8">
      <c r="C55" s="41"/>
      <c r="D55" s="42"/>
      <c r="E55" s="41"/>
      <c r="F55" s="43"/>
      <c r="G55" s="41"/>
      <c r="H55" s="41"/>
      <c r="I55" s="43"/>
      <c r="J55" s="41"/>
      <c r="K55" s="41"/>
      <c r="L55" s="43"/>
      <c r="M55" s="41"/>
      <c r="N55" s="41"/>
      <c r="O55" s="43"/>
      <c r="P55" s="41"/>
      <c r="Q55" s="41"/>
      <c r="R55" s="43"/>
      <c r="S55" s="41"/>
      <c r="T55" s="41"/>
      <c r="U55" s="43"/>
      <c r="V55" s="41"/>
      <c r="W55" s="41"/>
    </row>
    <row r="56" spans="3:23" ht="13.8">
      <c r="C56" s="45"/>
      <c r="D56" s="42"/>
      <c r="E56" s="41"/>
      <c r="F56" s="43"/>
      <c r="G56" s="41"/>
      <c r="H56" s="41"/>
      <c r="I56" s="43"/>
      <c r="J56" s="41"/>
      <c r="K56" s="41"/>
      <c r="L56" s="43"/>
      <c r="M56" s="41"/>
      <c r="N56" s="41"/>
      <c r="O56" s="43"/>
      <c r="P56" s="41"/>
      <c r="Q56" s="41"/>
      <c r="R56" s="43"/>
      <c r="S56" s="41"/>
      <c r="T56" s="41"/>
      <c r="U56" s="43"/>
      <c r="V56" s="41"/>
      <c r="W56" s="41"/>
    </row>
    <row r="57" spans="3:23" ht="13.8">
      <c r="C57" s="41"/>
      <c r="D57" s="42"/>
      <c r="E57" s="41"/>
      <c r="F57" s="43"/>
      <c r="G57" s="41"/>
      <c r="H57" s="41"/>
      <c r="I57" s="43"/>
      <c r="J57" s="41"/>
      <c r="K57" s="41"/>
      <c r="L57" s="43"/>
      <c r="M57" s="41"/>
      <c r="N57" s="41"/>
      <c r="O57" s="43"/>
      <c r="P57" s="41"/>
      <c r="Q57" s="41"/>
      <c r="R57" s="43"/>
      <c r="S57" s="41"/>
      <c r="T57" s="41"/>
      <c r="U57" s="43"/>
      <c r="V57" s="41"/>
      <c r="W57" s="41"/>
    </row>
    <row r="58" spans="3:23" ht="13.8">
      <c r="C58" s="41"/>
      <c r="D58" s="42"/>
      <c r="E58" s="41"/>
      <c r="F58" s="43"/>
      <c r="G58" s="41"/>
      <c r="H58" s="41"/>
      <c r="I58" s="43"/>
      <c r="J58" s="41"/>
      <c r="K58" s="41"/>
      <c r="L58" s="43"/>
      <c r="M58" s="41"/>
      <c r="N58" s="41"/>
      <c r="O58" s="43"/>
      <c r="P58" s="41"/>
      <c r="Q58" s="41"/>
      <c r="R58" s="43"/>
      <c r="S58" s="41"/>
      <c r="T58" s="41"/>
      <c r="U58" s="43"/>
      <c r="V58" s="41"/>
      <c r="W58" s="41"/>
    </row>
    <row r="59" spans="3:23" ht="13.8">
      <c r="C59" s="41"/>
      <c r="D59" s="42"/>
      <c r="E59" s="41"/>
      <c r="F59" s="43"/>
      <c r="G59" s="41"/>
      <c r="H59" s="41"/>
      <c r="I59" s="43"/>
      <c r="J59" s="41"/>
      <c r="K59" s="41"/>
      <c r="L59" s="43"/>
      <c r="M59" s="41"/>
      <c r="N59" s="41"/>
      <c r="O59" s="43"/>
      <c r="P59" s="41"/>
      <c r="Q59" s="41"/>
      <c r="R59" s="43"/>
      <c r="S59" s="41"/>
      <c r="T59" s="41"/>
      <c r="U59" s="43"/>
      <c r="V59" s="41"/>
      <c r="W59" s="41"/>
    </row>
    <row r="60" spans="3:23" ht="13.8">
      <c r="C60" s="41"/>
      <c r="D60" s="42"/>
      <c r="E60" s="41"/>
      <c r="F60" s="43"/>
      <c r="G60" s="41"/>
      <c r="H60" s="41"/>
      <c r="I60" s="43"/>
      <c r="J60" s="41"/>
      <c r="K60" s="41"/>
      <c r="L60" s="43"/>
      <c r="M60" s="41"/>
      <c r="N60" s="41"/>
      <c r="O60" s="43"/>
      <c r="P60" s="41"/>
      <c r="Q60" s="41"/>
      <c r="R60" s="43"/>
      <c r="S60" s="41"/>
      <c r="T60" s="41"/>
      <c r="U60" s="43"/>
      <c r="V60" s="41"/>
      <c r="W60" s="41"/>
    </row>
    <row r="61" spans="3:23" ht="13.8">
      <c r="C61" s="41"/>
      <c r="D61" s="42"/>
      <c r="E61" s="41"/>
      <c r="F61" s="43"/>
      <c r="G61" s="41"/>
      <c r="H61" s="41"/>
      <c r="I61" s="43"/>
      <c r="J61" s="41"/>
      <c r="K61" s="41"/>
      <c r="L61" s="43"/>
      <c r="M61" s="41"/>
      <c r="N61" s="41"/>
      <c r="O61" s="43"/>
      <c r="P61" s="41"/>
      <c r="Q61" s="41"/>
      <c r="R61" s="43"/>
      <c r="S61" s="41"/>
      <c r="T61" s="41"/>
      <c r="U61" s="43"/>
      <c r="V61" s="41"/>
      <c r="W61" s="41"/>
    </row>
    <row r="62" spans="3:23" ht="13.8">
      <c r="C62" s="41"/>
      <c r="D62" s="42"/>
      <c r="E62" s="41"/>
      <c r="F62" s="43"/>
      <c r="G62" s="41"/>
      <c r="H62" s="41"/>
      <c r="I62" s="43"/>
      <c r="J62" s="41"/>
      <c r="K62" s="41"/>
      <c r="L62" s="43"/>
      <c r="M62" s="41"/>
      <c r="N62" s="41"/>
      <c r="O62" s="43"/>
      <c r="P62" s="41"/>
      <c r="Q62" s="41"/>
      <c r="R62" s="43"/>
      <c r="S62" s="41"/>
      <c r="T62" s="41"/>
      <c r="U62" s="43"/>
      <c r="V62" s="41"/>
      <c r="W62" s="41"/>
    </row>
    <row r="63" spans="3:23" ht="13.8">
      <c r="C63" s="41"/>
      <c r="D63" s="42"/>
      <c r="E63" s="41"/>
      <c r="F63" s="43"/>
      <c r="G63" s="41"/>
      <c r="H63" s="41"/>
      <c r="I63" s="43"/>
      <c r="J63" s="41"/>
      <c r="K63" s="41"/>
      <c r="L63" s="43"/>
      <c r="M63" s="41"/>
      <c r="N63" s="41"/>
      <c r="O63" s="43"/>
      <c r="P63" s="41"/>
      <c r="Q63" s="41"/>
      <c r="R63" s="43"/>
      <c r="S63" s="41"/>
      <c r="T63" s="41"/>
      <c r="U63" s="43"/>
      <c r="V63" s="41"/>
      <c r="W63" s="41"/>
    </row>
    <row r="64" spans="3:23" ht="13.8">
      <c r="C64" s="41"/>
      <c r="D64" s="42"/>
      <c r="E64" s="41"/>
      <c r="F64" s="43"/>
      <c r="G64" s="41"/>
      <c r="H64" s="41"/>
      <c r="I64" s="43"/>
      <c r="J64" s="41"/>
      <c r="K64" s="41"/>
      <c r="L64" s="43"/>
      <c r="M64" s="41"/>
      <c r="N64" s="41"/>
      <c r="O64" s="43"/>
      <c r="P64" s="41"/>
      <c r="Q64" s="41"/>
      <c r="R64" s="43"/>
      <c r="S64" s="41"/>
      <c r="T64" s="41"/>
      <c r="U64" s="43"/>
      <c r="V64" s="41"/>
      <c r="W64" s="41"/>
    </row>
    <row r="65" spans="3:23" ht="13.8">
      <c r="C65" s="41"/>
      <c r="D65" s="42"/>
      <c r="E65" s="41"/>
      <c r="F65" s="43"/>
      <c r="G65" s="41"/>
      <c r="H65" s="41"/>
      <c r="I65" s="43"/>
      <c r="J65" s="41"/>
      <c r="K65" s="41"/>
      <c r="L65" s="43"/>
      <c r="M65" s="41"/>
      <c r="N65" s="41"/>
      <c r="O65" s="43"/>
      <c r="P65" s="41"/>
      <c r="Q65" s="41"/>
      <c r="R65" s="43"/>
      <c r="S65" s="41"/>
      <c r="T65" s="41"/>
      <c r="U65" s="43"/>
      <c r="V65" s="41"/>
      <c r="W65" s="41"/>
    </row>
    <row r="66" spans="3:23" ht="13.8">
      <c r="C66" s="41"/>
      <c r="D66" s="42"/>
      <c r="E66" s="41"/>
      <c r="F66" s="43"/>
      <c r="G66" s="41"/>
      <c r="H66" s="41"/>
      <c r="I66" s="43"/>
      <c r="J66" s="41"/>
      <c r="K66" s="41"/>
      <c r="L66" s="43"/>
      <c r="M66" s="41"/>
      <c r="N66" s="41"/>
      <c r="O66" s="43"/>
      <c r="P66" s="41"/>
      <c r="Q66" s="41"/>
      <c r="R66" s="43"/>
      <c r="S66" s="41"/>
      <c r="T66" s="41"/>
      <c r="U66" s="43"/>
      <c r="V66" s="41"/>
      <c r="W66" s="41"/>
    </row>
    <row r="67" spans="3:23" ht="13.8">
      <c r="C67" s="41"/>
      <c r="D67" s="42"/>
      <c r="E67" s="41"/>
      <c r="F67" s="43"/>
      <c r="G67" s="41"/>
      <c r="H67" s="41"/>
      <c r="I67" s="43"/>
      <c r="J67" s="41"/>
      <c r="K67" s="41"/>
      <c r="L67" s="43"/>
      <c r="M67" s="41"/>
      <c r="N67" s="41"/>
      <c r="O67" s="43"/>
      <c r="P67" s="41"/>
      <c r="Q67" s="41"/>
      <c r="R67" s="43"/>
      <c r="S67" s="41"/>
      <c r="T67" s="41"/>
      <c r="U67" s="43"/>
      <c r="V67" s="41"/>
      <c r="W67" s="41"/>
    </row>
    <row r="68" spans="3:23" ht="13.8">
      <c r="C68" s="41"/>
      <c r="D68" s="42"/>
      <c r="E68" s="41"/>
      <c r="F68" s="43"/>
      <c r="G68" s="41"/>
      <c r="H68" s="41"/>
      <c r="I68" s="43"/>
      <c r="J68" s="41"/>
      <c r="K68" s="41"/>
      <c r="L68" s="43"/>
      <c r="M68" s="41"/>
      <c r="N68" s="41"/>
      <c r="O68" s="43"/>
      <c r="P68" s="41"/>
      <c r="Q68" s="41"/>
      <c r="R68" s="43"/>
      <c r="S68" s="41"/>
      <c r="T68" s="41"/>
      <c r="U68" s="43"/>
      <c r="V68" s="41"/>
      <c r="W68" s="41"/>
    </row>
    <row r="69" spans="3:23" ht="13.8">
      <c r="C69" s="41"/>
      <c r="D69" s="42"/>
      <c r="E69" s="41"/>
      <c r="F69" s="43"/>
      <c r="G69" s="41"/>
      <c r="H69" s="41"/>
      <c r="I69" s="43"/>
      <c r="J69" s="41"/>
      <c r="K69" s="41"/>
      <c r="L69" s="43"/>
      <c r="M69" s="41"/>
      <c r="N69" s="41"/>
      <c r="O69" s="43"/>
      <c r="P69" s="41"/>
      <c r="Q69" s="41"/>
      <c r="R69" s="43"/>
      <c r="S69" s="41"/>
      <c r="T69" s="41"/>
      <c r="U69" s="43"/>
      <c r="V69" s="41"/>
      <c r="W69" s="41"/>
    </row>
    <row r="70" spans="3:23" ht="13.8">
      <c r="C70" s="41"/>
      <c r="D70" s="42"/>
      <c r="E70" s="41"/>
      <c r="F70" s="43"/>
      <c r="G70" s="41"/>
      <c r="H70" s="41"/>
      <c r="I70" s="43"/>
      <c r="J70" s="41"/>
      <c r="K70" s="41"/>
      <c r="L70" s="43"/>
      <c r="M70" s="41"/>
      <c r="N70" s="41"/>
      <c r="O70" s="43"/>
      <c r="P70" s="41"/>
      <c r="Q70" s="41"/>
      <c r="R70" s="43"/>
      <c r="S70" s="41"/>
      <c r="T70" s="41"/>
      <c r="U70" s="43"/>
      <c r="V70" s="41"/>
      <c r="W70" s="41"/>
    </row>
  </sheetData>
  <mergeCells count="8">
    <mergeCell ref="V1:X1"/>
    <mergeCell ref="Y1:AA1"/>
    <mergeCell ref="D1:F1"/>
    <mergeCell ref="G1:I1"/>
    <mergeCell ref="J1:L1"/>
    <mergeCell ref="M1:O1"/>
    <mergeCell ref="P1:R1"/>
    <mergeCell ref="S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6C3D-2FCD-40B2-A2A6-5F9498D9F8ED}">
  <dimension ref="A1:Y33"/>
  <sheetViews>
    <sheetView workbookViewId="0">
      <selection activeCell="A3" sqref="A3:A33"/>
    </sheetView>
  </sheetViews>
  <sheetFormatPr baseColWidth="10" defaultColWidth="8.796875" defaultRowHeight="13.8"/>
  <cols>
    <col min="1" max="1" width="33.19921875" customWidth="1"/>
    <col min="2" max="2" width="9.5" customWidth="1"/>
    <col min="4" max="4" width="8.796875" style="46"/>
    <col min="5" max="5" width="8.796875" style="47"/>
    <col min="7" max="7" width="8.796875" style="46"/>
    <col min="8" max="8" width="9.19921875" style="47" customWidth="1"/>
    <col min="10" max="10" width="8.796875" style="46"/>
    <col min="13" max="13" width="8.796875" style="46"/>
    <col min="16" max="16" width="8.796875" style="46"/>
    <col min="19" max="19" width="8.796875" style="46"/>
    <col min="22" max="22" width="8.796875" style="46"/>
    <col min="25" max="25" width="8.796875" style="46"/>
  </cols>
  <sheetData>
    <row r="1" spans="1:25" ht="14.55" customHeight="1">
      <c r="A1" s="48" t="s">
        <v>289</v>
      </c>
      <c r="B1" s="82" t="s">
        <v>280</v>
      </c>
      <c r="C1" s="80"/>
      <c r="D1" s="81"/>
      <c r="E1" s="80" t="s">
        <v>281</v>
      </c>
      <c r="F1" s="80"/>
      <c r="G1" s="81"/>
      <c r="H1" s="80" t="s">
        <v>282</v>
      </c>
      <c r="I1" s="80"/>
      <c r="J1" s="81"/>
      <c r="K1" s="80" t="s">
        <v>283</v>
      </c>
      <c r="L1" s="80"/>
      <c r="M1" s="81"/>
      <c r="N1" s="80" t="s">
        <v>284</v>
      </c>
      <c r="O1" s="80"/>
      <c r="P1" s="81"/>
      <c r="Q1" s="80" t="s">
        <v>285</v>
      </c>
      <c r="R1" s="80"/>
      <c r="S1" s="81"/>
      <c r="T1" s="80" t="s">
        <v>286</v>
      </c>
      <c r="U1" s="80"/>
      <c r="V1" s="81"/>
      <c r="W1" s="80" t="s">
        <v>287</v>
      </c>
      <c r="X1" s="80"/>
      <c r="Y1" s="81"/>
    </row>
    <row r="2" spans="1:25" ht="14.55" customHeight="1">
      <c r="A2" s="41" t="s">
        <v>288</v>
      </c>
      <c r="B2" s="42" t="s">
        <v>182</v>
      </c>
      <c r="C2" s="41" t="s">
        <v>183</v>
      </c>
      <c r="D2" s="43" t="s">
        <v>184</v>
      </c>
      <c r="E2" s="41" t="s">
        <v>188</v>
      </c>
      <c r="F2" s="41" t="s">
        <v>189</v>
      </c>
      <c r="G2" s="43" t="s">
        <v>190</v>
      </c>
      <c r="H2" s="41" t="s">
        <v>185</v>
      </c>
      <c r="I2" s="41" t="s">
        <v>186</v>
      </c>
      <c r="J2" s="43" t="s">
        <v>187</v>
      </c>
      <c r="K2" s="41" t="s">
        <v>191</v>
      </c>
      <c r="L2" s="41" t="s">
        <v>192</v>
      </c>
      <c r="M2" s="43" t="s">
        <v>193</v>
      </c>
      <c r="N2" s="41" t="s">
        <v>176</v>
      </c>
      <c r="O2" s="41" t="s">
        <v>177</v>
      </c>
      <c r="P2" s="43" t="s">
        <v>178</v>
      </c>
      <c r="Q2" s="41" t="s">
        <v>194</v>
      </c>
      <c r="R2" s="41" t="s">
        <v>195</v>
      </c>
      <c r="S2" s="43" t="s">
        <v>196</v>
      </c>
      <c r="T2" s="41" t="s">
        <v>197</v>
      </c>
      <c r="U2" s="41" t="s">
        <v>198</v>
      </c>
      <c r="V2" s="43" t="s">
        <v>199</v>
      </c>
      <c r="W2" s="41" t="s">
        <v>179</v>
      </c>
      <c r="X2" s="41" t="s">
        <v>180</v>
      </c>
      <c r="Y2" s="43" t="s">
        <v>181</v>
      </c>
    </row>
    <row r="3" spans="1:25" ht="14.55" customHeight="1">
      <c r="A3" s="49" t="s">
        <v>248</v>
      </c>
      <c r="B3" s="42"/>
      <c r="C3" s="41"/>
      <c r="D3" s="43">
        <v>6</v>
      </c>
      <c r="E3" s="41"/>
      <c r="F3" s="41"/>
      <c r="G3" s="43">
        <v>4</v>
      </c>
      <c r="H3" s="41">
        <v>3</v>
      </c>
      <c r="I3" s="41">
        <v>40</v>
      </c>
      <c r="J3" s="43">
        <v>10</v>
      </c>
      <c r="K3" s="41">
        <v>7</v>
      </c>
      <c r="L3" s="41"/>
      <c r="M3" s="43">
        <v>4</v>
      </c>
      <c r="N3" s="41"/>
      <c r="O3" s="41"/>
      <c r="P3" s="43"/>
      <c r="Q3" s="41">
        <v>8</v>
      </c>
      <c r="R3" s="41"/>
      <c r="S3" s="43">
        <v>4</v>
      </c>
      <c r="T3" s="41"/>
      <c r="U3" s="41"/>
      <c r="V3" s="43"/>
      <c r="W3" s="41"/>
      <c r="X3" s="41"/>
      <c r="Y3" s="43">
        <v>3</v>
      </c>
    </row>
    <row r="4" spans="1:25" ht="14.55" customHeight="1">
      <c r="A4" s="49" t="s">
        <v>249</v>
      </c>
      <c r="B4" s="42"/>
      <c r="C4" s="41"/>
      <c r="D4" s="43"/>
      <c r="E4" s="41"/>
      <c r="F4" s="41"/>
      <c r="G4" s="43"/>
      <c r="H4" s="41"/>
      <c r="I4" s="41"/>
      <c r="J4" s="43"/>
      <c r="K4" s="41"/>
      <c r="L4" s="41"/>
      <c r="M4" s="43"/>
      <c r="N4" s="41"/>
      <c r="O4" s="41"/>
      <c r="P4" s="43"/>
      <c r="Q4" s="41">
        <v>3</v>
      </c>
      <c r="R4" s="41"/>
      <c r="S4" s="43"/>
      <c r="T4" s="41"/>
      <c r="U4" s="41"/>
      <c r="V4" s="43"/>
      <c r="W4" s="41"/>
      <c r="X4" s="41"/>
      <c r="Y4" s="43"/>
    </row>
    <row r="5" spans="1:25" ht="14.55" customHeight="1">
      <c r="A5" s="49" t="s">
        <v>250</v>
      </c>
      <c r="B5" s="42"/>
      <c r="C5" s="41"/>
      <c r="D5" s="43"/>
      <c r="E5" s="41"/>
      <c r="F5" s="41">
        <v>48</v>
      </c>
      <c r="G5" s="43"/>
      <c r="H5" s="41"/>
      <c r="I5" s="41"/>
      <c r="J5" s="43"/>
      <c r="K5" s="41"/>
      <c r="L5" s="41"/>
      <c r="M5" s="43"/>
      <c r="N5" s="41"/>
      <c r="O5" s="41"/>
      <c r="P5" s="43"/>
      <c r="Q5" s="41"/>
      <c r="R5" s="41">
        <v>5</v>
      </c>
      <c r="S5" s="43">
        <v>5</v>
      </c>
      <c r="T5" s="41"/>
      <c r="U5" s="41"/>
      <c r="V5" s="43"/>
      <c r="W5" s="41"/>
      <c r="X5" s="41"/>
      <c r="Y5" s="43"/>
    </row>
    <row r="6" spans="1:25" ht="14.55" customHeight="1">
      <c r="A6" s="49" t="s">
        <v>251</v>
      </c>
      <c r="B6" s="42">
        <v>48</v>
      </c>
      <c r="C6" s="41">
        <v>57</v>
      </c>
      <c r="D6" s="43">
        <v>85</v>
      </c>
      <c r="E6" s="41"/>
      <c r="F6" s="41">
        <v>1</v>
      </c>
      <c r="G6" s="43">
        <v>30</v>
      </c>
      <c r="H6" s="41">
        <v>9</v>
      </c>
      <c r="I6" s="41">
        <v>2</v>
      </c>
      <c r="J6" s="43">
        <v>68</v>
      </c>
      <c r="K6" s="41">
        <v>18</v>
      </c>
      <c r="L6" s="41">
        <v>6</v>
      </c>
      <c r="M6" s="43">
        <v>19</v>
      </c>
      <c r="N6" s="41"/>
      <c r="O6" s="41"/>
      <c r="P6" s="43"/>
      <c r="Q6" s="41">
        <v>26</v>
      </c>
      <c r="R6" s="41">
        <v>5</v>
      </c>
      <c r="S6" s="43">
        <v>46</v>
      </c>
      <c r="T6" s="41"/>
      <c r="U6" s="41"/>
      <c r="V6" s="43"/>
      <c r="W6" s="41">
        <v>2</v>
      </c>
      <c r="X6" s="41"/>
      <c r="Y6" s="43">
        <v>2</v>
      </c>
    </row>
    <row r="7" spans="1:25" ht="14.55" customHeight="1">
      <c r="A7" s="49" t="s">
        <v>252</v>
      </c>
      <c r="B7" s="42"/>
      <c r="C7" s="41"/>
      <c r="D7" s="43"/>
      <c r="E7" s="41"/>
      <c r="F7" s="41"/>
      <c r="G7" s="43"/>
      <c r="H7" s="41">
        <v>6</v>
      </c>
      <c r="I7" s="41">
        <v>7</v>
      </c>
      <c r="J7" s="43">
        <v>6</v>
      </c>
      <c r="K7" s="41"/>
      <c r="L7" s="41"/>
      <c r="M7" s="43"/>
      <c r="N7" s="41"/>
      <c r="O7" s="41"/>
      <c r="P7" s="43"/>
      <c r="Q7" s="41">
        <v>16</v>
      </c>
      <c r="R7" s="41"/>
      <c r="S7" s="43"/>
      <c r="T7" s="41"/>
      <c r="U7" s="41"/>
      <c r="V7" s="43"/>
      <c r="W7" s="41"/>
      <c r="X7" s="41"/>
      <c r="Y7" s="43"/>
    </row>
    <row r="8" spans="1:25" ht="14.55" customHeight="1">
      <c r="A8" s="49" t="s">
        <v>253</v>
      </c>
      <c r="B8" s="42"/>
      <c r="C8" s="41"/>
      <c r="D8" s="43">
        <v>1</v>
      </c>
      <c r="E8" s="41"/>
      <c r="F8" s="41"/>
      <c r="G8" s="43"/>
      <c r="H8" s="41"/>
      <c r="I8" s="41"/>
      <c r="J8" s="43"/>
      <c r="K8" s="41">
        <v>4</v>
      </c>
      <c r="L8" s="41">
        <v>2</v>
      </c>
      <c r="M8" s="43"/>
      <c r="N8" s="41"/>
      <c r="O8" s="41"/>
      <c r="P8" s="43"/>
      <c r="Q8" s="41"/>
      <c r="R8" s="41"/>
      <c r="S8" s="43"/>
      <c r="T8" s="41"/>
      <c r="U8" s="41"/>
      <c r="V8" s="43"/>
      <c r="W8" s="41"/>
      <c r="X8" s="41"/>
      <c r="Y8" s="43"/>
    </row>
    <row r="9" spans="1:25" ht="14.55" customHeight="1">
      <c r="A9" s="49" t="s">
        <v>254</v>
      </c>
      <c r="B9" s="42"/>
      <c r="C9" s="41"/>
      <c r="D9" s="43"/>
      <c r="E9" s="41"/>
      <c r="F9" s="41"/>
      <c r="G9" s="43"/>
      <c r="H9" s="41">
        <v>24</v>
      </c>
      <c r="I9" s="41"/>
      <c r="J9" s="43"/>
      <c r="K9" s="41"/>
      <c r="L9" s="41"/>
      <c r="M9" s="43"/>
      <c r="N9" s="41">
        <v>50</v>
      </c>
      <c r="O9" s="41">
        <v>20</v>
      </c>
      <c r="P9" s="43">
        <v>60</v>
      </c>
      <c r="Q9" s="41"/>
      <c r="R9" s="41"/>
      <c r="S9" s="43"/>
      <c r="T9" s="41"/>
      <c r="U9" s="41"/>
      <c r="V9" s="43"/>
      <c r="W9" s="41">
        <v>32</v>
      </c>
      <c r="X9" s="41">
        <v>42</v>
      </c>
      <c r="Y9" s="43">
        <v>60</v>
      </c>
    </row>
    <row r="10" spans="1:25" ht="14.55" customHeight="1">
      <c r="A10" s="49" t="s">
        <v>255</v>
      </c>
      <c r="B10" s="42">
        <v>5</v>
      </c>
      <c r="C10" s="41"/>
      <c r="D10" s="43"/>
      <c r="E10" s="41">
        <v>95</v>
      </c>
      <c r="F10" s="41">
        <v>28</v>
      </c>
      <c r="G10" s="43">
        <v>7</v>
      </c>
      <c r="H10" s="41">
        <v>8</v>
      </c>
      <c r="I10" s="41">
        <v>14</v>
      </c>
      <c r="J10" s="43">
        <v>3</v>
      </c>
      <c r="K10" s="41">
        <v>3</v>
      </c>
      <c r="L10" s="41"/>
      <c r="M10" s="43">
        <v>3</v>
      </c>
      <c r="N10" s="41"/>
      <c r="O10" s="41"/>
      <c r="P10" s="43"/>
      <c r="Q10" s="41"/>
      <c r="R10" s="41"/>
      <c r="S10" s="43"/>
      <c r="T10" s="41"/>
      <c r="U10" s="41"/>
      <c r="V10" s="43"/>
      <c r="W10" s="41">
        <v>168</v>
      </c>
      <c r="X10" s="41">
        <v>214</v>
      </c>
      <c r="Y10" s="43">
        <v>490</v>
      </c>
    </row>
    <row r="11" spans="1:25" ht="14.55" customHeight="1">
      <c r="A11" s="49" t="s">
        <v>256</v>
      </c>
      <c r="B11" s="42"/>
      <c r="C11" s="41">
        <v>4</v>
      </c>
      <c r="D11" s="43">
        <v>9</v>
      </c>
      <c r="E11" s="41"/>
      <c r="F11" s="41"/>
      <c r="G11" s="43"/>
      <c r="H11" s="41"/>
      <c r="I11" s="41"/>
      <c r="J11" s="43"/>
      <c r="K11" s="41"/>
      <c r="L11" s="41"/>
      <c r="M11" s="43"/>
      <c r="N11" s="41"/>
      <c r="O11" s="41"/>
      <c r="P11" s="43"/>
      <c r="Q11" s="41"/>
      <c r="R11" s="41"/>
      <c r="S11" s="43"/>
      <c r="T11" s="41"/>
      <c r="U11" s="41"/>
      <c r="V11" s="43"/>
      <c r="W11" s="41"/>
      <c r="X11" s="41"/>
      <c r="Y11" s="43">
        <v>13</v>
      </c>
    </row>
    <row r="12" spans="1:25" ht="14.55" customHeight="1">
      <c r="A12" s="49" t="s">
        <v>257</v>
      </c>
      <c r="B12" s="42"/>
      <c r="C12" s="41"/>
      <c r="D12" s="43"/>
      <c r="E12" s="41">
        <v>4</v>
      </c>
      <c r="F12" s="41"/>
      <c r="G12" s="43">
        <v>1</v>
      </c>
      <c r="H12" s="41"/>
      <c r="I12" s="41"/>
      <c r="J12" s="43"/>
      <c r="K12" s="41"/>
      <c r="L12" s="41"/>
      <c r="M12" s="43">
        <v>1</v>
      </c>
      <c r="N12" s="41"/>
      <c r="O12" s="41"/>
      <c r="P12" s="43"/>
      <c r="Q12" s="41"/>
      <c r="R12" s="41"/>
      <c r="S12" s="43"/>
      <c r="T12" s="41"/>
      <c r="U12" s="41"/>
      <c r="V12" s="43"/>
      <c r="W12" s="41"/>
      <c r="X12" s="41"/>
      <c r="Y12" s="43"/>
    </row>
    <row r="13" spans="1:25" s="44" customFormat="1" ht="14.55" customHeight="1">
      <c r="A13" s="49" t="s">
        <v>258</v>
      </c>
      <c r="B13" s="42"/>
      <c r="C13" s="41"/>
      <c r="D13" s="43"/>
      <c r="E13" s="41">
        <v>11</v>
      </c>
      <c r="F13" s="41">
        <v>16</v>
      </c>
      <c r="G13" s="43">
        <v>24</v>
      </c>
      <c r="H13" s="41"/>
      <c r="I13" s="41"/>
      <c r="J13" s="43"/>
      <c r="K13" s="41">
        <v>12</v>
      </c>
      <c r="L13" s="41">
        <v>3</v>
      </c>
      <c r="M13" s="43">
        <v>8</v>
      </c>
      <c r="N13" s="41"/>
      <c r="O13" s="41"/>
      <c r="P13" s="43"/>
      <c r="Q13" s="41"/>
      <c r="R13" s="41"/>
      <c r="S13" s="43"/>
      <c r="T13" s="41"/>
      <c r="U13" s="41"/>
      <c r="V13" s="43"/>
      <c r="W13" s="41">
        <v>12</v>
      </c>
      <c r="X13" s="41"/>
      <c r="Y13" s="43"/>
    </row>
    <row r="14" spans="1:25" ht="14.55" customHeight="1">
      <c r="A14" s="49" t="s">
        <v>259</v>
      </c>
      <c r="B14" s="42"/>
      <c r="C14" s="41">
        <v>4</v>
      </c>
      <c r="D14" s="43"/>
      <c r="E14" s="41"/>
      <c r="F14" s="41"/>
      <c r="G14" s="43"/>
      <c r="H14" s="41"/>
      <c r="I14" s="41"/>
      <c r="J14" s="43"/>
      <c r="K14" s="41"/>
      <c r="L14" s="41"/>
      <c r="M14" s="43"/>
      <c r="N14" s="41"/>
      <c r="O14" s="41"/>
      <c r="P14" s="43"/>
      <c r="Q14" s="41"/>
      <c r="R14" s="41"/>
      <c r="S14" s="43"/>
      <c r="T14" s="41"/>
      <c r="U14" s="41"/>
      <c r="V14" s="43"/>
      <c r="W14" s="41">
        <v>12</v>
      </c>
      <c r="X14" s="41"/>
      <c r="Y14" s="43"/>
    </row>
    <row r="15" spans="1:25" ht="14.55" customHeight="1">
      <c r="A15" s="49" t="s">
        <v>260</v>
      </c>
      <c r="B15" s="42"/>
      <c r="C15" s="41"/>
      <c r="D15" s="43"/>
      <c r="E15" s="41">
        <v>3</v>
      </c>
      <c r="F15" s="41" t="s">
        <v>261</v>
      </c>
      <c r="G15" s="43"/>
      <c r="H15" s="41"/>
      <c r="I15" s="41"/>
      <c r="J15" s="43"/>
      <c r="K15" s="41"/>
      <c r="L15" s="41"/>
      <c r="M15" s="43"/>
      <c r="N15" s="41"/>
      <c r="O15" s="41"/>
      <c r="P15" s="43"/>
      <c r="Q15" s="41"/>
      <c r="R15" s="41"/>
      <c r="S15" s="43"/>
      <c r="T15" s="41"/>
      <c r="U15" s="41"/>
      <c r="V15" s="43"/>
      <c r="W15" s="41"/>
      <c r="X15" s="41"/>
      <c r="Y15" s="43"/>
    </row>
    <row r="16" spans="1:25" ht="14.55" customHeight="1">
      <c r="A16" s="49" t="s">
        <v>262</v>
      </c>
      <c r="B16" s="42">
        <v>48</v>
      </c>
      <c r="C16" s="41">
        <v>24</v>
      </c>
      <c r="D16" s="43">
        <v>22</v>
      </c>
      <c r="E16" s="41">
        <v>10</v>
      </c>
      <c r="F16" s="41"/>
      <c r="G16" s="43"/>
      <c r="H16" s="41">
        <v>10</v>
      </c>
      <c r="I16" s="41"/>
      <c r="J16" s="43"/>
      <c r="K16" s="41"/>
      <c r="L16" s="41">
        <v>1</v>
      </c>
      <c r="M16" s="43"/>
      <c r="N16" s="41"/>
      <c r="O16" s="41"/>
      <c r="P16" s="43"/>
      <c r="Q16" s="41"/>
      <c r="R16" s="41"/>
      <c r="S16" s="43"/>
      <c r="T16" s="41"/>
      <c r="U16" s="41"/>
      <c r="V16" s="43"/>
      <c r="W16" s="41"/>
      <c r="X16" s="41">
        <v>5</v>
      </c>
      <c r="Y16" s="43">
        <v>6</v>
      </c>
    </row>
    <row r="17" spans="1:25" ht="14.55" customHeight="1">
      <c r="A17" s="49" t="s">
        <v>263</v>
      </c>
      <c r="B17" s="42">
        <v>45</v>
      </c>
      <c r="C17" s="41">
        <v>17</v>
      </c>
      <c r="D17" s="43">
        <v>62</v>
      </c>
      <c r="E17" s="41"/>
      <c r="F17" s="41"/>
      <c r="G17" s="43"/>
      <c r="H17" s="41"/>
      <c r="I17" s="41">
        <v>2</v>
      </c>
      <c r="J17" s="43"/>
      <c r="K17" s="41"/>
      <c r="L17" s="41"/>
      <c r="M17" s="43"/>
      <c r="N17" s="41"/>
      <c r="O17" s="41"/>
      <c r="P17" s="43"/>
      <c r="Q17" s="41"/>
      <c r="R17" s="41"/>
      <c r="S17" s="43"/>
      <c r="T17" s="41"/>
      <c r="U17" s="41"/>
      <c r="V17" s="43"/>
      <c r="W17" s="41"/>
      <c r="X17" s="41">
        <v>4</v>
      </c>
      <c r="Y17" s="43"/>
    </row>
    <row r="18" spans="1:25" ht="14.55" customHeight="1">
      <c r="A18" s="49" t="s">
        <v>264</v>
      </c>
      <c r="B18" s="42">
        <v>8</v>
      </c>
      <c r="C18" s="41">
        <v>5</v>
      </c>
      <c r="D18" s="43">
        <v>28</v>
      </c>
      <c r="E18" s="41"/>
      <c r="F18" s="41"/>
      <c r="G18" s="43"/>
      <c r="H18" s="41"/>
      <c r="I18" s="41"/>
      <c r="J18" s="43"/>
      <c r="K18" s="41"/>
      <c r="L18" s="41"/>
      <c r="M18" s="43"/>
      <c r="N18" s="41"/>
      <c r="O18" s="41"/>
      <c r="P18" s="43"/>
      <c r="Q18" s="41"/>
      <c r="R18" s="41"/>
      <c r="S18" s="43"/>
      <c r="T18" s="41"/>
      <c r="U18" s="41"/>
      <c r="V18" s="43"/>
      <c r="W18" s="41"/>
      <c r="X18" s="41"/>
      <c r="Y18" s="43"/>
    </row>
    <row r="19" spans="1:25" ht="14.4">
      <c r="A19" s="50" t="s">
        <v>265</v>
      </c>
      <c r="B19" s="42">
        <v>24</v>
      </c>
      <c r="C19" s="41">
        <v>14</v>
      </c>
      <c r="D19" s="43">
        <v>10</v>
      </c>
      <c r="E19" s="41"/>
      <c r="F19" s="41"/>
      <c r="G19" s="43"/>
      <c r="H19" s="41"/>
      <c r="I19" s="41"/>
      <c r="J19" s="43"/>
      <c r="K19" s="41"/>
      <c r="L19" s="41"/>
      <c r="M19" s="43"/>
      <c r="N19" s="41"/>
      <c r="O19" s="41"/>
      <c r="P19" s="43"/>
      <c r="Q19" s="41"/>
      <c r="R19" s="41"/>
      <c r="S19" s="43"/>
      <c r="T19" s="41"/>
      <c r="U19" s="41"/>
      <c r="V19" s="43"/>
      <c r="W19" s="41">
        <v>24</v>
      </c>
      <c r="X19" s="41">
        <v>24</v>
      </c>
      <c r="Y19" s="43">
        <v>16</v>
      </c>
    </row>
    <row r="20" spans="1:25" ht="14.55" customHeight="1">
      <c r="A20" s="49" t="s">
        <v>266</v>
      </c>
      <c r="B20" s="42"/>
      <c r="C20" s="41"/>
      <c r="D20" s="43"/>
      <c r="E20" s="41"/>
      <c r="F20" s="41"/>
      <c r="G20" s="43"/>
      <c r="H20" s="41"/>
      <c r="I20" s="41"/>
      <c r="J20" s="43"/>
      <c r="K20" s="41"/>
      <c r="L20" s="41"/>
      <c r="M20" s="43"/>
      <c r="N20" s="41">
        <v>350</v>
      </c>
      <c r="O20" s="41">
        <v>200</v>
      </c>
      <c r="P20" s="43">
        <v>200</v>
      </c>
      <c r="Q20" s="41"/>
      <c r="R20" s="41"/>
      <c r="S20" s="43"/>
      <c r="T20" s="41"/>
      <c r="U20" s="41"/>
      <c r="V20" s="43"/>
      <c r="W20" s="41"/>
      <c r="X20" s="41"/>
      <c r="Y20" s="43"/>
    </row>
    <row r="21" spans="1:25" ht="14.55" customHeight="1">
      <c r="A21" s="49" t="s">
        <v>267</v>
      </c>
      <c r="B21" s="42"/>
      <c r="C21" s="41"/>
      <c r="D21" s="43"/>
      <c r="E21" s="41"/>
      <c r="F21" s="41"/>
      <c r="G21" s="43"/>
      <c r="H21" s="41"/>
      <c r="I21" s="41"/>
      <c r="J21" s="43"/>
      <c r="K21" s="41"/>
      <c r="L21" s="41"/>
      <c r="M21" s="43">
        <v>2</v>
      </c>
      <c r="N21" s="41"/>
      <c r="O21" s="41"/>
      <c r="P21" s="43"/>
      <c r="Q21" s="41"/>
      <c r="R21" s="41"/>
      <c r="S21" s="43"/>
      <c r="T21" s="41"/>
      <c r="U21" s="41"/>
      <c r="V21" s="43"/>
      <c r="W21" s="41"/>
      <c r="X21" s="41"/>
      <c r="Y21" s="43"/>
    </row>
    <row r="22" spans="1:25" ht="14.55" customHeight="1">
      <c r="A22" s="49" t="s">
        <v>268</v>
      </c>
      <c r="B22" s="42">
        <v>10</v>
      </c>
      <c r="C22" s="41">
        <v>3</v>
      </c>
      <c r="D22" s="43"/>
      <c r="E22" s="41"/>
      <c r="F22" s="41"/>
      <c r="G22" s="43"/>
      <c r="H22" s="41"/>
      <c r="I22" s="41"/>
      <c r="J22" s="43"/>
      <c r="K22" s="41"/>
      <c r="L22" s="41"/>
      <c r="M22" s="43"/>
      <c r="N22" s="41"/>
      <c r="O22" s="41"/>
      <c r="P22" s="43"/>
      <c r="Q22" s="41"/>
      <c r="R22" s="41"/>
      <c r="S22" s="43"/>
      <c r="T22" s="41"/>
      <c r="U22" s="41"/>
      <c r="V22" s="43"/>
      <c r="W22" s="41"/>
      <c r="X22" s="41"/>
      <c r="Y22" s="43"/>
    </row>
    <row r="23" spans="1:25" ht="14.55" customHeight="1">
      <c r="A23" s="49" t="s">
        <v>269</v>
      </c>
      <c r="B23" s="42">
        <v>58</v>
      </c>
      <c r="C23" s="41"/>
      <c r="D23" s="43">
        <v>12</v>
      </c>
      <c r="E23" s="41">
        <v>12</v>
      </c>
      <c r="F23" s="41">
        <v>4</v>
      </c>
      <c r="G23" s="43">
        <v>10</v>
      </c>
      <c r="H23" s="41">
        <v>144</v>
      </c>
      <c r="I23" s="41">
        <v>70</v>
      </c>
      <c r="J23" s="43">
        <v>20</v>
      </c>
      <c r="K23" s="41">
        <v>8</v>
      </c>
      <c r="L23" s="41">
        <v>9</v>
      </c>
      <c r="M23" s="43">
        <v>13</v>
      </c>
      <c r="N23" s="41"/>
      <c r="O23" s="41"/>
      <c r="P23" s="43"/>
      <c r="Q23" s="41">
        <v>68</v>
      </c>
      <c r="R23" s="41">
        <v>40</v>
      </c>
      <c r="S23" s="43">
        <v>114</v>
      </c>
      <c r="T23" s="41">
        <v>93</v>
      </c>
      <c r="U23" s="41">
        <v>50</v>
      </c>
      <c r="V23" s="43">
        <v>106</v>
      </c>
      <c r="W23" s="41">
        <v>2</v>
      </c>
      <c r="X23" s="41">
        <v>24</v>
      </c>
      <c r="Y23" s="43"/>
    </row>
    <row r="24" spans="1:25" ht="14.55" customHeight="1">
      <c r="A24" s="49" t="s">
        <v>270</v>
      </c>
      <c r="B24" s="42"/>
      <c r="C24" s="41">
        <v>6</v>
      </c>
      <c r="D24" s="43"/>
      <c r="E24" s="41"/>
      <c r="F24" s="41">
        <v>14</v>
      </c>
      <c r="G24" s="43"/>
      <c r="H24" s="41"/>
      <c r="I24" s="41"/>
      <c r="J24" s="43"/>
      <c r="K24" s="41"/>
      <c r="L24" s="41"/>
      <c r="M24" s="43"/>
      <c r="N24" s="41"/>
      <c r="O24" s="41"/>
      <c r="P24" s="43"/>
      <c r="Q24" s="41"/>
      <c r="R24" s="41"/>
      <c r="S24" s="43"/>
      <c r="T24" s="41"/>
      <c r="U24" s="41"/>
      <c r="V24" s="43"/>
      <c r="W24" s="41">
        <v>8</v>
      </c>
      <c r="X24" s="41"/>
      <c r="Y24" s="43"/>
    </row>
    <row r="25" spans="1:25" ht="14.55" customHeight="1">
      <c r="A25" s="49" t="s">
        <v>271</v>
      </c>
      <c r="B25" s="42"/>
      <c r="C25" s="41"/>
      <c r="D25" s="43"/>
      <c r="E25" s="41"/>
      <c r="F25" s="41"/>
      <c r="G25" s="43"/>
      <c r="H25" s="41"/>
      <c r="I25" s="41"/>
      <c r="J25" s="43"/>
      <c r="K25" s="41"/>
      <c r="L25" s="41"/>
      <c r="M25" s="43"/>
      <c r="N25" s="41"/>
      <c r="O25" s="41"/>
      <c r="P25" s="43"/>
      <c r="Q25" s="41"/>
      <c r="R25" s="41"/>
      <c r="S25" s="43"/>
      <c r="T25" s="41">
        <v>2</v>
      </c>
      <c r="U25" s="41"/>
      <c r="V25" s="43">
        <v>1</v>
      </c>
      <c r="W25" s="41"/>
      <c r="X25" s="41"/>
      <c r="Y25" s="43"/>
    </row>
    <row r="26" spans="1:25" ht="14.55" customHeight="1">
      <c r="A26" s="49" t="s">
        <v>272</v>
      </c>
      <c r="B26" s="42"/>
      <c r="C26" s="41"/>
      <c r="D26" s="43"/>
      <c r="E26" s="41"/>
      <c r="F26" s="41"/>
      <c r="G26" s="43"/>
      <c r="H26" s="41"/>
      <c r="I26" s="41"/>
      <c r="J26" s="43"/>
      <c r="K26" s="41"/>
      <c r="L26" s="41"/>
      <c r="M26" s="43">
        <v>1</v>
      </c>
      <c r="N26" s="41"/>
      <c r="O26" s="41"/>
      <c r="P26" s="43"/>
      <c r="Q26" s="41"/>
      <c r="R26" s="41"/>
      <c r="S26" s="43"/>
      <c r="T26" s="41"/>
      <c r="U26" s="41"/>
      <c r="V26" s="43"/>
      <c r="W26" s="41"/>
      <c r="X26" s="41"/>
      <c r="Y26" s="43"/>
    </row>
    <row r="27" spans="1:25" ht="14.55" customHeight="1">
      <c r="A27" s="49" t="s">
        <v>273</v>
      </c>
      <c r="B27" s="42"/>
      <c r="C27" s="41"/>
      <c r="D27" s="43"/>
      <c r="E27" s="41"/>
      <c r="F27" s="41"/>
      <c r="G27" s="43"/>
      <c r="H27" s="41"/>
      <c r="I27" s="41"/>
      <c r="J27" s="43"/>
      <c r="K27" s="41">
        <v>6</v>
      </c>
      <c r="L27" s="41">
        <v>4</v>
      </c>
      <c r="M27" s="43">
        <v>9</v>
      </c>
      <c r="N27" s="41"/>
      <c r="O27" s="41"/>
      <c r="P27" s="43"/>
      <c r="Q27" s="41"/>
      <c r="R27" s="41"/>
      <c r="S27" s="43"/>
      <c r="T27" s="41"/>
      <c r="U27" s="41"/>
      <c r="V27" s="43"/>
      <c r="W27" s="41"/>
      <c r="X27" s="41"/>
      <c r="Y27" s="43"/>
    </row>
    <row r="28" spans="1:25" ht="14.55" customHeight="1">
      <c r="A28" s="49" t="s">
        <v>274</v>
      </c>
      <c r="B28" s="42"/>
      <c r="C28" s="41"/>
      <c r="D28" s="43"/>
      <c r="E28" s="41"/>
      <c r="F28" s="41"/>
      <c r="G28" s="43"/>
      <c r="H28" s="41"/>
      <c r="I28" s="41"/>
      <c r="J28" s="43">
        <v>2</v>
      </c>
      <c r="K28" s="41">
        <v>1</v>
      </c>
      <c r="L28" s="41"/>
      <c r="M28" s="43"/>
      <c r="N28" s="41"/>
      <c r="O28" s="41"/>
      <c r="P28" s="43"/>
      <c r="Q28" s="41"/>
      <c r="R28" s="41"/>
      <c r="S28" s="43"/>
      <c r="T28" s="41"/>
      <c r="U28" s="41"/>
      <c r="V28" s="43"/>
      <c r="W28" s="41"/>
      <c r="X28" s="41"/>
      <c r="Y28" s="43"/>
    </row>
    <row r="29" spans="1:25" ht="14.55" customHeight="1">
      <c r="A29" s="49" t="s">
        <v>275</v>
      </c>
      <c r="B29" s="42">
        <v>2</v>
      </c>
      <c r="C29" s="41">
        <v>2</v>
      </c>
      <c r="D29" s="43">
        <v>5</v>
      </c>
      <c r="E29" s="41"/>
      <c r="F29" s="41"/>
      <c r="G29" s="43"/>
      <c r="H29" s="41"/>
      <c r="I29" s="41"/>
      <c r="J29" s="43"/>
      <c r="K29" s="41"/>
      <c r="L29" s="41"/>
      <c r="M29" s="43"/>
      <c r="N29" s="41"/>
      <c r="O29" s="41"/>
      <c r="P29" s="43"/>
      <c r="Q29" s="41"/>
      <c r="R29" s="41"/>
      <c r="S29" s="43"/>
      <c r="T29" s="41"/>
      <c r="U29" s="41"/>
      <c r="V29" s="43"/>
      <c r="W29" s="41"/>
      <c r="X29" s="41">
        <v>6</v>
      </c>
      <c r="Y29" s="43">
        <v>6</v>
      </c>
    </row>
    <row r="30" spans="1:25" ht="14.55" customHeight="1">
      <c r="A30" s="49" t="s">
        <v>276</v>
      </c>
      <c r="B30" s="42"/>
      <c r="C30" s="41">
        <v>1</v>
      </c>
      <c r="D30" s="43"/>
      <c r="E30" s="41"/>
      <c r="F30" s="41"/>
      <c r="G30" s="43"/>
      <c r="H30" s="41"/>
      <c r="I30" s="41"/>
      <c r="J30" s="43"/>
      <c r="K30" s="41"/>
      <c r="L30" s="41"/>
      <c r="M30" s="43"/>
      <c r="N30" s="41"/>
      <c r="O30" s="41"/>
      <c r="P30" s="43"/>
      <c r="Q30" s="41"/>
      <c r="R30" s="41"/>
      <c r="S30" s="43"/>
      <c r="T30" s="41"/>
      <c r="U30" s="41"/>
      <c r="V30" s="43"/>
      <c r="W30" s="41"/>
      <c r="X30" s="41"/>
      <c r="Y30" s="43"/>
    </row>
    <row r="31" spans="1:25" ht="14.55" customHeight="1">
      <c r="A31" s="49" t="s">
        <v>277</v>
      </c>
      <c r="B31" s="42"/>
      <c r="C31" s="41"/>
      <c r="D31" s="43"/>
      <c r="E31" s="41"/>
      <c r="F31" s="41"/>
      <c r="G31" s="43"/>
      <c r="H31" s="41"/>
      <c r="I31" s="41"/>
      <c r="J31" s="43"/>
      <c r="K31" s="41"/>
      <c r="L31" s="41"/>
      <c r="M31" s="43"/>
      <c r="N31" s="41"/>
      <c r="O31" s="41"/>
      <c r="P31" s="43"/>
      <c r="Q31" s="41"/>
      <c r="R31" s="41">
        <v>2</v>
      </c>
      <c r="S31" s="43"/>
      <c r="T31" s="41"/>
      <c r="U31" s="41"/>
      <c r="V31" s="43"/>
      <c r="W31" s="41"/>
      <c r="X31" s="41"/>
      <c r="Y31" s="43"/>
    </row>
    <row r="32" spans="1:25" ht="14.55" customHeight="1">
      <c r="A32" s="49" t="s">
        <v>278</v>
      </c>
      <c r="B32" s="42"/>
      <c r="C32" s="41"/>
      <c r="D32" s="43"/>
      <c r="E32" s="41">
        <v>12</v>
      </c>
      <c r="F32" s="41">
        <v>20</v>
      </c>
      <c r="G32" s="43"/>
      <c r="H32" s="41"/>
      <c r="I32" s="41">
        <v>3</v>
      </c>
      <c r="J32" s="43"/>
      <c r="K32" s="41">
        <v>2</v>
      </c>
      <c r="L32" s="41"/>
      <c r="M32" s="43">
        <v>16</v>
      </c>
      <c r="N32" s="41"/>
      <c r="O32" s="41"/>
      <c r="P32" s="43"/>
      <c r="Q32" s="41"/>
      <c r="R32" s="41"/>
      <c r="S32" s="43"/>
      <c r="T32" s="41"/>
      <c r="U32" s="41"/>
      <c r="V32" s="43"/>
      <c r="W32" s="41"/>
      <c r="X32" s="41"/>
      <c r="Y32" s="43"/>
    </row>
    <row r="33" spans="1:25" ht="14.55" customHeight="1">
      <c r="A33" s="49" t="s">
        <v>279</v>
      </c>
      <c r="B33" s="42"/>
      <c r="C33" s="41"/>
      <c r="D33" s="43"/>
      <c r="E33" s="41"/>
      <c r="F33" s="41"/>
      <c r="G33" s="43">
        <v>40</v>
      </c>
      <c r="H33" s="41">
        <v>10</v>
      </c>
      <c r="I33" s="41">
        <v>26</v>
      </c>
      <c r="J33" s="43">
        <v>23</v>
      </c>
      <c r="K33" s="41"/>
      <c r="L33" s="41"/>
      <c r="M33" s="43"/>
      <c r="N33" s="41"/>
      <c r="O33" s="41"/>
      <c r="P33" s="43"/>
      <c r="Q33" s="41"/>
      <c r="R33" s="41"/>
      <c r="S33" s="43"/>
      <c r="T33" s="41"/>
      <c r="U33" s="41"/>
      <c r="V33" s="43"/>
      <c r="W33" s="41">
        <v>2</v>
      </c>
      <c r="X33" s="41"/>
      <c r="Y33" s="43"/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0A9-38F2-4460-B467-585273970885}">
  <dimension ref="A1:AK92"/>
  <sheetViews>
    <sheetView workbookViewId="0">
      <selection activeCell="F3" sqref="F3"/>
    </sheetView>
  </sheetViews>
  <sheetFormatPr baseColWidth="10" defaultRowHeight="13.8"/>
  <cols>
    <col min="1" max="1" width="13.8984375" bestFit="1" customWidth="1"/>
    <col min="2" max="2" width="16.8984375" bestFit="1" customWidth="1"/>
    <col min="3" max="3" width="14.8984375" bestFit="1" customWidth="1"/>
    <col min="4" max="4" width="35.8984375" bestFit="1" customWidth="1"/>
    <col min="5" max="5" width="13.09765625" bestFit="1" customWidth="1"/>
    <col min="6" max="6" width="13.5" customWidth="1"/>
  </cols>
  <sheetData>
    <row r="1" spans="1:37" s="53" customFormat="1">
      <c r="A1" s="83" t="s">
        <v>290</v>
      </c>
      <c r="B1" s="84"/>
      <c r="C1" s="84"/>
      <c r="D1" s="84"/>
      <c r="E1" s="84"/>
      <c r="F1" s="51" t="s">
        <v>291</v>
      </c>
      <c r="G1" s="52" t="s">
        <v>291</v>
      </c>
      <c r="H1" s="51" t="s">
        <v>291</v>
      </c>
      <c r="I1" s="52" t="s">
        <v>291</v>
      </c>
      <c r="J1" s="51" t="s">
        <v>291</v>
      </c>
      <c r="K1" s="52" t="s">
        <v>291</v>
      </c>
      <c r="L1" s="51" t="s">
        <v>291</v>
      </c>
      <c r="M1" s="52" t="s">
        <v>291</v>
      </c>
      <c r="N1" s="51" t="s">
        <v>291</v>
      </c>
      <c r="O1" s="52" t="s">
        <v>291</v>
      </c>
      <c r="P1" s="51" t="s">
        <v>291</v>
      </c>
      <c r="Q1" s="52" t="s">
        <v>291</v>
      </c>
      <c r="R1" s="51" t="s">
        <v>291</v>
      </c>
      <c r="S1" s="52" t="s">
        <v>291</v>
      </c>
      <c r="T1" s="51" t="s">
        <v>291</v>
      </c>
      <c r="U1" s="52" t="s">
        <v>291</v>
      </c>
      <c r="V1" s="51" t="s">
        <v>291</v>
      </c>
      <c r="W1" s="52" t="s">
        <v>291</v>
      </c>
      <c r="X1" s="51" t="s">
        <v>291</v>
      </c>
      <c r="Y1" s="52" t="s">
        <v>291</v>
      </c>
      <c r="Z1" s="51" t="s">
        <v>291</v>
      </c>
      <c r="AA1" s="52" t="s">
        <v>291</v>
      </c>
      <c r="AB1" s="51" t="s">
        <v>291</v>
      </c>
      <c r="AC1" s="52" t="s">
        <v>291</v>
      </c>
      <c r="AD1" s="51" t="s">
        <v>291</v>
      </c>
      <c r="AE1" s="52" t="s">
        <v>291</v>
      </c>
      <c r="AF1" s="51" t="s">
        <v>291</v>
      </c>
      <c r="AG1" s="52" t="s">
        <v>291</v>
      </c>
      <c r="AH1" s="51" t="s">
        <v>291</v>
      </c>
      <c r="AI1" s="52" t="s">
        <v>291</v>
      </c>
      <c r="AJ1" s="51" t="s">
        <v>291</v>
      </c>
      <c r="AK1" s="52" t="s">
        <v>291</v>
      </c>
    </row>
    <row r="2" spans="1:37" s="53" customFormat="1">
      <c r="A2" s="85" t="s">
        <v>292</v>
      </c>
      <c r="B2" s="86"/>
      <c r="C2" s="86"/>
      <c r="D2" s="86"/>
      <c r="E2" s="86"/>
      <c r="F2" s="54" t="s">
        <v>293</v>
      </c>
      <c r="G2" s="55" t="s">
        <v>293</v>
      </c>
      <c r="H2" s="54" t="s">
        <v>293</v>
      </c>
      <c r="I2" s="55" t="s">
        <v>293</v>
      </c>
      <c r="J2" s="54" t="s">
        <v>293</v>
      </c>
      <c r="K2" s="55" t="s">
        <v>293</v>
      </c>
      <c r="L2" s="54" t="s">
        <v>293</v>
      </c>
      <c r="M2" s="55" t="s">
        <v>293</v>
      </c>
      <c r="N2" s="54" t="s">
        <v>293</v>
      </c>
      <c r="O2" s="55" t="s">
        <v>293</v>
      </c>
      <c r="P2" s="54" t="s">
        <v>293</v>
      </c>
      <c r="Q2" s="55" t="s">
        <v>293</v>
      </c>
      <c r="R2" s="54" t="s">
        <v>293</v>
      </c>
      <c r="S2" s="55" t="s">
        <v>293</v>
      </c>
      <c r="T2" s="54" t="s">
        <v>293</v>
      </c>
      <c r="U2" s="55" t="s">
        <v>293</v>
      </c>
      <c r="V2" s="54" t="s">
        <v>293</v>
      </c>
      <c r="W2" s="55" t="s">
        <v>293</v>
      </c>
      <c r="X2" s="54" t="s">
        <v>293</v>
      </c>
      <c r="Y2" s="55" t="s">
        <v>293</v>
      </c>
      <c r="Z2" s="54" t="s">
        <v>293</v>
      </c>
      <c r="AA2" s="55" t="s">
        <v>293</v>
      </c>
      <c r="AB2" s="54" t="s">
        <v>293</v>
      </c>
      <c r="AC2" s="55" t="s">
        <v>293</v>
      </c>
      <c r="AD2" s="54" t="s">
        <v>293</v>
      </c>
      <c r="AE2" s="55" t="s">
        <v>293</v>
      </c>
      <c r="AF2" s="54" t="s">
        <v>293</v>
      </c>
      <c r="AG2" s="55" t="s">
        <v>293</v>
      </c>
      <c r="AH2" s="54" t="s">
        <v>293</v>
      </c>
      <c r="AI2" s="55" t="s">
        <v>293</v>
      </c>
      <c r="AJ2" s="54" t="s">
        <v>293</v>
      </c>
      <c r="AK2" s="55" t="s">
        <v>293</v>
      </c>
    </row>
    <row r="3" spans="1:37" s="53" customFormat="1">
      <c r="A3" s="85" t="s">
        <v>294</v>
      </c>
      <c r="B3" s="86"/>
      <c r="C3" s="86"/>
      <c r="D3" s="86"/>
      <c r="E3" s="86"/>
      <c r="F3" s="54" t="s">
        <v>295</v>
      </c>
      <c r="G3" s="55" t="s">
        <v>295</v>
      </c>
      <c r="H3" s="54" t="s">
        <v>295</v>
      </c>
      <c r="I3" s="55" t="s">
        <v>295</v>
      </c>
      <c r="J3" s="54" t="s">
        <v>296</v>
      </c>
      <c r="K3" s="55" t="s">
        <v>296</v>
      </c>
      <c r="L3" s="54" t="s">
        <v>296</v>
      </c>
      <c r="M3" s="55" t="s">
        <v>296</v>
      </c>
      <c r="N3" s="54" t="s">
        <v>297</v>
      </c>
      <c r="O3" s="55" t="s">
        <v>297</v>
      </c>
      <c r="P3" s="54" t="s">
        <v>297</v>
      </c>
      <c r="Q3" s="55" t="s">
        <v>297</v>
      </c>
      <c r="R3" s="54" t="s">
        <v>298</v>
      </c>
      <c r="S3" s="55" t="s">
        <v>298</v>
      </c>
      <c r="T3" s="54" t="s">
        <v>298</v>
      </c>
      <c r="U3" s="55" t="s">
        <v>298</v>
      </c>
      <c r="V3" s="54" t="s">
        <v>299</v>
      </c>
      <c r="W3" s="55" t="s">
        <v>299</v>
      </c>
      <c r="X3" s="54" t="s">
        <v>299</v>
      </c>
      <c r="Y3" s="55" t="s">
        <v>299</v>
      </c>
      <c r="Z3" s="54" t="s">
        <v>300</v>
      </c>
      <c r="AA3" s="55" t="s">
        <v>300</v>
      </c>
      <c r="AB3" s="54" t="s">
        <v>300</v>
      </c>
      <c r="AC3" s="55" t="s">
        <v>300</v>
      </c>
      <c r="AD3" s="54" t="s">
        <v>301</v>
      </c>
      <c r="AE3" s="55" t="s">
        <v>301</v>
      </c>
      <c r="AF3" s="54" t="s">
        <v>301</v>
      </c>
      <c r="AG3" s="55" t="s">
        <v>301</v>
      </c>
      <c r="AH3" s="54" t="s">
        <v>302</v>
      </c>
      <c r="AI3" s="55" t="s">
        <v>302</v>
      </c>
      <c r="AJ3" s="54" t="s">
        <v>302</v>
      </c>
      <c r="AK3" s="55" t="s">
        <v>302</v>
      </c>
    </row>
    <row r="4" spans="1:37" s="53" customFormat="1">
      <c r="A4" s="85" t="s">
        <v>303</v>
      </c>
      <c r="B4" s="86"/>
      <c r="C4" s="86"/>
      <c r="D4" s="86"/>
      <c r="E4" s="86"/>
      <c r="F4" s="54" t="s">
        <v>304</v>
      </c>
      <c r="G4" s="55" t="s">
        <v>304</v>
      </c>
      <c r="H4" s="54" t="s">
        <v>304</v>
      </c>
      <c r="I4" s="55" t="s">
        <v>304</v>
      </c>
      <c r="J4" s="54" t="s">
        <v>304</v>
      </c>
      <c r="K4" s="55" t="s">
        <v>304</v>
      </c>
      <c r="L4" s="54" t="s">
        <v>304</v>
      </c>
      <c r="M4" s="55" t="s">
        <v>304</v>
      </c>
      <c r="N4" s="54" t="s">
        <v>304</v>
      </c>
      <c r="O4" s="55" t="s">
        <v>304</v>
      </c>
      <c r="P4" s="54" t="s">
        <v>304</v>
      </c>
      <c r="Q4" s="55" t="s">
        <v>304</v>
      </c>
      <c r="R4" s="54" t="s">
        <v>304</v>
      </c>
      <c r="S4" s="55" t="s">
        <v>304</v>
      </c>
      <c r="T4" s="54" t="s">
        <v>304</v>
      </c>
      <c r="U4" s="55" t="s">
        <v>304</v>
      </c>
      <c r="V4" s="54" t="s">
        <v>304</v>
      </c>
      <c r="W4" s="55" t="s">
        <v>304</v>
      </c>
      <c r="X4" s="54" t="s">
        <v>304</v>
      </c>
      <c r="Y4" s="55" t="s">
        <v>304</v>
      </c>
      <c r="Z4" s="54" t="s">
        <v>304</v>
      </c>
      <c r="AA4" s="55" t="s">
        <v>304</v>
      </c>
      <c r="AB4" s="54" t="s">
        <v>304</v>
      </c>
      <c r="AC4" s="55" t="s">
        <v>304</v>
      </c>
      <c r="AD4" s="54" t="s">
        <v>304</v>
      </c>
      <c r="AE4" s="55" t="s">
        <v>304</v>
      </c>
      <c r="AF4" s="54" t="s">
        <v>304</v>
      </c>
      <c r="AG4" s="55" t="s">
        <v>304</v>
      </c>
      <c r="AH4" s="54" t="s">
        <v>304</v>
      </c>
      <c r="AI4" s="55" t="s">
        <v>304</v>
      </c>
      <c r="AJ4" s="54" t="s">
        <v>304</v>
      </c>
      <c r="AK4" s="55" t="s">
        <v>304</v>
      </c>
    </row>
    <row r="5" spans="1:37" s="58" customFormat="1">
      <c r="A5" s="87" t="s">
        <v>305</v>
      </c>
      <c r="B5" s="88"/>
      <c r="C5" s="88"/>
      <c r="D5" s="88"/>
      <c r="E5" s="88"/>
      <c r="F5" s="56">
        <v>45762</v>
      </c>
      <c r="G5" s="57">
        <v>45762</v>
      </c>
      <c r="H5" s="56">
        <v>45762</v>
      </c>
      <c r="I5" s="57">
        <v>45762</v>
      </c>
      <c r="J5" s="56">
        <v>45770</v>
      </c>
      <c r="K5" s="57">
        <v>45770</v>
      </c>
      <c r="L5" s="56">
        <v>45770</v>
      </c>
      <c r="M5" s="57">
        <v>45770</v>
      </c>
      <c r="N5" s="56">
        <v>45757</v>
      </c>
      <c r="O5" s="57">
        <v>45757</v>
      </c>
      <c r="P5" s="56">
        <v>45757</v>
      </c>
      <c r="Q5" s="57">
        <v>45757</v>
      </c>
      <c r="R5" s="56">
        <v>45759</v>
      </c>
      <c r="S5" s="57">
        <v>45759</v>
      </c>
      <c r="T5" s="56">
        <v>45759</v>
      </c>
      <c r="U5" s="57">
        <v>45759</v>
      </c>
      <c r="V5" s="56">
        <v>45758</v>
      </c>
      <c r="W5" s="57">
        <v>45758</v>
      </c>
      <c r="X5" s="56">
        <v>45758</v>
      </c>
      <c r="Y5" s="57">
        <v>45758</v>
      </c>
      <c r="Z5" s="56">
        <v>45760</v>
      </c>
      <c r="AA5" s="57">
        <v>45760</v>
      </c>
      <c r="AB5" s="56">
        <v>45760</v>
      </c>
      <c r="AC5" s="57">
        <v>45760</v>
      </c>
      <c r="AD5" s="56">
        <v>45763</v>
      </c>
      <c r="AE5" s="57">
        <v>45763</v>
      </c>
      <c r="AF5" s="56">
        <v>45763</v>
      </c>
      <c r="AG5" s="57">
        <v>45763</v>
      </c>
      <c r="AH5" s="56">
        <v>45766</v>
      </c>
      <c r="AI5" s="57">
        <v>45766</v>
      </c>
      <c r="AJ5" s="56">
        <v>45766</v>
      </c>
      <c r="AK5" s="57">
        <v>45766</v>
      </c>
    </row>
    <row r="6" spans="1:37" s="53" customFormat="1">
      <c r="A6" s="85" t="s">
        <v>306</v>
      </c>
      <c r="B6" s="86"/>
      <c r="C6" s="86"/>
      <c r="D6" s="86"/>
      <c r="E6" s="86"/>
      <c r="F6" s="54" t="s">
        <v>307</v>
      </c>
      <c r="G6" s="55" t="s">
        <v>307</v>
      </c>
      <c r="H6" s="54" t="s">
        <v>308</v>
      </c>
      <c r="I6" s="55" t="s">
        <v>308</v>
      </c>
      <c r="J6" s="54" t="s">
        <v>309</v>
      </c>
      <c r="K6" s="55" t="s">
        <v>309</v>
      </c>
      <c r="L6" s="54" t="s">
        <v>310</v>
      </c>
      <c r="M6" s="55" t="s">
        <v>310</v>
      </c>
      <c r="N6" s="54" t="s">
        <v>311</v>
      </c>
      <c r="O6" s="55" t="s">
        <v>311</v>
      </c>
      <c r="P6" s="54" t="s">
        <v>312</v>
      </c>
      <c r="Q6" s="55" t="s">
        <v>312</v>
      </c>
      <c r="R6" s="54" t="s">
        <v>313</v>
      </c>
      <c r="S6" s="55" t="s">
        <v>313</v>
      </c>
      <c r="T6" s="54" t="s">
        <v>314</v>
      </c>
      <c r="U6" s="55" t="s">
        <v>314</v>
      </c>
      <c r="V6" s="54" t="s">
        <v>315</v>
      </c>
      <c r="W6" s="55" t="s">
        <v>315</v>
      </c>
      <c r="X6" s="54" t="s">
        <v>316</v>
      </c>
      <c r="Y6" s="55" t="s">
        <v>316</v>
      </c>
      <c r="Z6" s="54" t="s">
        <v>317</v>
      </c>
      <c r="AA6" s="55" t="s">
        <v>317</v>
      </c>
      <c r="AB6" s="54" t="s">
        <v>318</v>
      </c>
      <c r="AC6" s="55" t="s">
        <v>318</v>
      </c>
      <c r="AD6" s="54" t="s">
        <v>319</v>
      </c>
      <c r="AE6" s="55" t="s">
        <v>319</v>
      </c>
      <c r="AF6" s="54" t="s">
        <v>320</v>
      </c>
      <c r="AG6" s="55" t="s">
        <v>320</v>
      </c>
      <c r="AH6" s="54" t="s">
        <v>321</v>
      </c>
      <c r="AI6" s="55" t="s">
        <v>321</v>
      </c>
      <c r="AJ6" s="54" t="s">
        <v>322</v>
      </c>
      <c r="AK6" s="55" t="s">
        <v>322</v>
      </c>
    </row>
    <row r="7" spans="1:37" s="53" customFormat="1" ht="14.4" thickBot="1">
      <c r="A7" s="59" t="s">
        <v>323</v>
      </c>
      <c r="B7" s="60" t="s">
        <v>324</v>
      </c>
      <c r="C7" s="60" t="s">
        <v>325</v>
      </c>
      <c r="D7" s="60" t="s">
        <v>326</v>
      </c>
      <c r="E7" s="60" t="s">
        <v>327</v>
      </c>
      <c r="F7" s="59" t="s">
        <v>328</v>
      </c>
      <c r="G7" s="61" t="s">
        <v>329</v>
      </c>
      <c r="H7" s="59" t="s">
        <v>328</v>
      </c>
      <c r="I7" s="61" t="s">
        <v>329</v>
      </c>
      <c r="J7" s="59" t="s">
        <v>328</v>
      </c>
      <c r="K7" s="61" t="s">
        <v>329</v>
      </c>
      <c r="L7" s="59" t="s">
        <v>328</v>
      </c>
      <c r="M7" s="61" t="s">
        <v>329</v>
      </c>
      <c r="N7" s="59" t="s">
        <v>328</v>
      </c>
      <c r="O7" s="61" t="s">
        <v>329</v>
      </c>
      <c r="P7" s="59" t="s">
        <v>328</v>
      </c>
      <c r="Q7" s="61" t="s">
        <v>329</v>
      </c>
      <c r="R7" s="59" t="s">
        <v>328</v>
      </c>
      <c r="S7" s="61" t="s">
        <v>329</v>
      </c>
      <c r="T7" s="59" t="s">
        <v>328</v>
      </c>
      <c r="U7" s="61" t="s">
        <v>329</v>
      </c>
      <c r="V7" s="59" t="s">
        <v>328</v>
      </c>
      <c r="W7" s="61" t="s">
        <v>329</v>
      </c>
      <c r="X7" s="59" t="s">
        <v>328</v>
      </c>
      <c r="Y7" s="61" t="s">
        <v>329</v>
      </c>
      <c r="Z7" s="59" t="s">
        <v>328</v>
      </c>
      <c r="AA7" s="61" t="s">
        <v>329</v>
      </c>
      <c r="AB7" s="59" t="s">
        <v>328</v>
      </c>
      <c r="AC7" s="61" t="s">
        <v>329</v>
      </c>
      <c r="AD7" s="59" t="s">
        <v>328</v>
      </c>
      <c r="AE7" s="61" t="s">
        <v>329</v>
      </c>
      <c r="AF7" s="59" t="s">
        <v>328</v>
      </c>
      <c r="AG7" s="61" t="s">
        <v>329</v>
      </c>
      <c r="AH7" s="59" t="s">
        <v>328</v>
      </c>
      <c r="AI7" s="61" t="s">
        <v>329</v>
      </c>
      <c r="AJ7" s="59" t="s">
        <v>328</v>
      </c>
      <c r="AK7" s="61" t="s">
        <v>329</v>
      </c>
    </row>
    <row r="8" spans="1:37" ht="14.4">
      <c r="A8" s="62" t="s">
        <v>330</v>
      </c>
      <c r="B8" s="63" t="s">
        <v>331</v>
      </c>
      <c r="C8" s="63" t="s">
        <v>332</v>
      </c>
      <c r="D8" s="63" t="s">
        <v>333</v>
      </c>
      <c r="E8" s="64" t="s">
        <v>334</v>
      </c>
      <c r="F8" s="65">
        <v>8</v>
      </c>
      <c r="G8" s="66">
        <v>6478</v>
      </c>
      <c r="H8" s="65">
        <v>4</v>
      </c>
      <c r="I8" s="66">
        <v>18453</v>
      </c>
      <c r="J8" s="65">
        <v>5</v>
      </c>
      <c r="K8" s="66">
        <v>2143</v>
      </c>
      <c r="L8" s="65">
        <v>1</v>
      </c>
      <c r="M8" s="66">
        <v>2068</v>
      </c>
      <c r="N8" s="65">
        <v>9</v>
      </c>
      <c r="O8" s="66">
        <v>11444</v>
      </c>
      <c r="P8" s="65">
        <v>7</v>
      </c>
      <c r="Q8" s="66">
        <v>5709</v>
      </c>
      <c r="R8" s="65"/>
      <c r="S8" s="66"/>
      <c r="T8" s="65"/>
      <c r="U8" s="66"/>
      <c r="V8" s="65"/>
      <c r="W8" s="66"/>
      <c r="X8" s="65"/>
      <c r="Y8" s="66"/>
      <c r="Z8" s="65"/>
      <c r="AA8" s="66"/>
      <c r="AB8" s="65">
        <v>1</v>
      </c>
      <c r="AC8" s="66">
        <v>931</v>
      </c>
      <c r="AD8" s="65">
        <v>2</v>
      </c>
      <c r="AE8" s="66">
        <v>4600</v>
      </c>
      <c r="AF8" s="65"/>
      <c r="AG8" s="66"/>
      <c r="AH8" s="65"/>
      <c r="AI8" s="66"/>
      <c r="AJ8" s="65"/>
      <c r="AK8" s="66"/>
    </row>
    <row r="9" spans="1:37" ht="14.4">
      <c r="A9" s="67" t="s">
        <v>330</v>
      </c>
      <c r="B9" s="14" t="s">
        <v>331</v>
      </c>
      <c r="C9" s="14" t="s">
        <v>335</v>
      </c>
      <c r="D9" s="14" t="s">
        <v>336</v>
      </c>
      <c r="E9" s="4" t="s">
        <v>334</v>
      </c>
      <c r="F9" s="68">
        <v>1</v>
      </c>
      <c r="G9" s="69">
        <v>253</v>
      </c>
      <c r="H9" s="68">
        <v>1</v>
      </c>
      <c r="I9" s="69">
        <v>6280</v>
      </c>
      <c r="J9" s="68">
        <v>3</v>
      </c>
      <c r="K9" s="69">
        <v>1342</v>
      </c>
      <c r="L9" s="68">
        <v>1</v>
      </c>
      <c r="M9" s="69">
        <v>275</v>
      </c>
      <c r="N9" s="68"/>
      <c r="O9" s="69"/>
      <c r="P9" s="68"/>
      <c r="Q9" s="69"/>
      <c r="R9" s="68"/>
      <c r="S9" s="69"/>
      <c r="T9" s="68"/>
      <c r="U9" s="69"/>
      <c r="V9" s="68">
        <v>1</v>
      </c>
      <c r="W9" s="69">
        <v>2808</v>
      </c>
      <c r="X9" s="68"/>
      <c r="Y9" s="69"/>
      <c r="Z9" s="68"/>
      <c r="AA9" s="69"/>
      <c r="AB9" s="68">
        <v>1</v>
      </c>
      <c r="AC9" s="69">
        <v>2671</v>
      </c>
      <c r="AD9" s="68">
        <v>1</v>
      </c>
      <c r="AE9" s="69">
        <v>1409</v>
      </c>
      <c r="AF9" s="68"/>
      <c r="AG9" s="69"/>
      <c r="AH9" s="68"/>
      <c r="AI9" s="69"/>
      <c r="AJ9" s="68"/>
      <c r="AK9" s="69"/>
    </row>
    <row r="10" spans="1:37" ht="14.4">
      <c r="A10" s="67" t="s">
        <v>330</v>
      </c>
      <c r="B10" s="14" t="s">
        <v>331</v>
      </c>
      <c r="C10" s="14" t="s">
        <v>337</v>
      </c>
      <c r="D10" s="14" t="s">
        <v>338</v>
      </c>
      <c r="E10" s="4" t="s">
        <v>339</v>
      </c>
      <c r="F10" s="68"/>
      <c r="G10" s="69"/>
      <c r="H10" s="68">
        <v>1</v>
      </c>
      <c r="I10" s="69">
        <v>223</v>
      </c>
      <c r="J10" s="68"/>
      <c r="K10" s="69"/>
      <c r="L10" s="68"/>
      <c r="M10" s="69"/>
      <c r="N10" s="68"/>
      <c r="O10" s="69"/>
      <c r="P10" s="68"/>
      <c r="Q10" s="69"/>
      <c r="R10" s="68"/>
      <c r="S10" s="69"/>
      <c r="T10" s="68"/>
      <c r="U10" s="69"/>
      <c r="V10" s="68"/>
      <c r="W10" s="69"/>
      <c r="X10" s="68"/>
      <c r="Y10" s="69"/>
      <c r="Z10" s="68"/>
      <c r="AA10" s="69"/>
      <c r="AB10" s="68"/>
      <c r="AC10" s="69"/>
      <c r="AD10" s="68"/>
      <c r="AE10" s="69"/>
      <c r="AF10" s="68"/>
      <c r="AG10" s="69"/>
      <c r="AH10" s="68"/>
      <c r="AI10" s="69"/>
      <c r="AJ10" s="68"/>
      <c r="AK10" s="69"/>
    </row>
    <row r="11" spans="1:37" ht="14.4">
      <c r="A11" s="67" t="s">
        <v>330</v>
      </c>
      <c r="B11" s="14" t="s">
        <v>340</v>
      </c>
      <c r="C11" s="14" t="s">
        <v>341</v>
      </c>
      <c r="D11" s="14" t="s">
        <v>342</v>
      </c>
      <c r="E11" s="4" t="s">
        <v>334</v>
      </c>
      <c r="F11" s="68"/>
      <c r="G11" s="69"/>
      <c r="H11" s="68"/>
      <c r="I11" s="69"/>
      <c r="J11" s="68">
        <v>2</v>
      </c>
      <c r="K11" s="69">
        <v>633</v>
      </c>
      <c r="L11" s="68">
        <v>1</v>
      </c>
      <c r="M11" s="69">
        <v>297</v>
      </c>
      <c r="N11" s="68"/>
      <c r="O11" s="69"/>
      <c r="P11" s="68"/>
      <c r="Q11" s="69"/>
      <c r="R11" s="68"/>
      <c r="S11" s="69"/>
      <c r="T11" s="68"/>
      <c r="U11" s="69"/>
      <c r="V11" s="68"/>
      <c r="W11" s="69"/>
      <c r="X11" s="68"/>
      <c r="Y11" s="69"/>
      <c r="Z11" s="68"/>
      <c r="AA11" s="69"/>
      <c r="AB11" s="68"/>
      <c r="AC11" s="69"/>
      <c r="AD11" s="68"/>
      <c r="AE11" s="69"/>
      <c r="AF11" s="68"/>
      <c r="AG11" s="69"/>
      <c r="AH11" s="68"/>
      <c r="AI11" s="69"/>
      <c r="AJ11" s="68"/>
      <c r="AK11" s="69"/>
    </row>
    <row r="12" spans="1:37" ht="14.4">
      <c r="A12" s="67" t="s">
        <v>330</v>
      </c>
      <c r="B12" s="14" t="s">
        <v>343</v>
      </c>
      <c r="C12" s="14" t="s">
        <v>344</v>
      </c>
      <c r="D12" s="14" t="s">
        <v>345</v>
      </c>
      <c r="E12" s="4" t="s">
        <v>334</v>
      </c>
      <c r="F12" s="68"/>
      <c r="G12" s="69"/>
      <c r="H12" s="68"/>
      <c r="I12" s="69"/>
      <c r="J12" s="68">
        <v>1</v>
      </c>
      <c r="K12" s="69">
        <v>180</v>
      </c>
      <c r="L12" s="68">
        <v>1</v>
      </c>
      <c r="M12" s="69">
        <v>583</v>
      </c>
      <c r="N12" s="68">
        <v>1</v>
      </c>
      <c r="O12" s="69">
        <v>570</v>
      </c>
      <c r="P12" s="68">
        <v>1</v>
      </c>
      <c r="Q12" s="69">
        <v>54</v>
      </c>
      <c r="R12" s="68"/>
      <c r="S12" s="69"/>
      <c r="T12" s="68"/>
      <c r="U12" s="69"/>
      <c r="V12" s="68"/>
      <c r="W12" s="69"/>
      <c r="X12" s="68"/>
      <c r="Y12" s="69"/>
      <c r="Z12" s="68"/>
      <c r="AA12" s="69"/>
      <c r="AB12" s="68"/>
      <c r="AC12" s="69"/>
      <c r="AD12" s="68">
        <v>1</v>
      </c>
      <c r="AE12" s="69">
        <v>891</v>
      </c>
      <c r="AF12" s="68"/>
      <c r="AG12" s="69"/>
      <c r="AH12" s="68"/>
      <c r="AI12" s="69"/>
      <c r="AJ12" s="68"/>
      <c r="AK12" s="69"/>
    </row>
    <row r="13" spans="1:37" ht="14.4">
      <c r="A13" s="67" t="s">
        <v>330</v>
      </c>
      <c r="B13" s="14" t="s">
        <v>346</v>
      </c>
      <c r="C13" s="14" t="s">
        <v>347</v>
      </c>
      <c r="D13" s="14" t="s">
        <v>348</v>
      </c>
      <c r="E13" s="4" t="s">
        <v>334</v>
      </c>
      <c r="F13" s="68"/>
      <c r="G13" s="69"/>
      <c r="H13" s="68"/>
      <c r="I13" s="69"/>
      <c r="J13" s="68">
        <v>4</v>
      </c>
      <c r="K13" s="69">
        <v>2697</v>
      </c>
      <c r="L13" s="68">
        <v>3</v>
      </c>
      <c r="M13" s="69">
        <v>2035</v>
      </c>
      <c r="N13" s="68">
        <v>6</v>
      </c>
      <c r="O13" s="69">
        <v>2557</v>
      </c>
      <c r="P13" s="68">
        <v>11</v>
      </c>
      <c r="Q13" s="69">
        <v>9988</v>
      </c>
      <c r="R13" s="68"/>
      <c r="S13" s="69"/>
      <c r="T13" s="68"/>
      <c r="U13" s="69"/>
      <c r="V13" s="68"/>
      <c r="W13" s="69"/>
      <c r="X13" s="68"/>
      <c r="Y13" s="69"/>
      <c r="Z13" s="68"/>
      <c r="AA13" s="69"/>
      <c r="AB13" s="68"/>
      <c r="AC13" s="69"/>
      <c r="AD13" s="68"/>
      <c r="AE13" s="69"/>
      <c r="AF13" s="68"/>
      <c r="AG13" s="69"/>
      <c r="AH13" s="68"/>
      <c r="AI13" s="69"/>
      <c r="AJ13" s="68"/>
      <c r="AK13" s="69"/>
    </row>
    <row r="14" spans="1:37" ht="14.4">
      <c r="A14" s="67" t="s">
        <v>330</v>
      </c>
      <c r="B14" s="14" t="s">
        <v>346</v>
      </c>
      <c r="C14" s="14" t="s">
        <v>347</v>
      </c>
      <c r="D14" s="14" t="s">
        <v>349</v>
      </c>
      <c r="E14" s="4" t="s">
        <v>334</v>
      </c>
      <c r="F14" s="68"/>
      <c r="G14" s="69"/>
      <c r="H14" s="68"/>
      <c r="I14" s="69"/>
      <c r="J14" s="68"/>
      <c r="K14" s="69"/>
      <c r="L14" s="68"/>
      <c r="M14" s="69"/>
      <c r="N14" s="68">
        <v>1</v>
      </c>
      <c r="O14" s="69">
        <v>609</v>
      </c>
      <c r="P14" s="68"/>
      <c r="Q14" s="69"/>
      <c r="R14" s="68"/>
      <c r="S14" s="69"/>
      <c r="T14" s="68"/>
      <c r="U14" s="69"/>
      <c r="V14" s="68">
        <v>1</v>
      </c>
      <c r="W14" s="69">
        <v>25071</v>
      </c>
      <c r="X14" s="68"/>
      <c r="Y14" s="69"/>
      <c r="Z14" s="68"/>
      <c r="AA14" s="69"/>
      <c r="AB14" s="68"/>
      <c r="AC14" s="69"/>
      <c r="AD14" s="68"/>
      <c r="AE14" s="69"/>
      <c r="AF14" s="68"/>
      <c r="AG14" s="69"/>
      <c r="AH14" s="68"/>
      <c r="AI14" s="69"/>
      <c r="AJ14" s="68"/>
      <c r="AK14" s="69"/>
    </row>
    <row r="15" spans="1:37" ht="14.4">
      <c r="A15" s="67" t="s">
        <v>330</v>
      </c>
      <c r="B15" s="14" t="s">
        <v>350</v>
      </c>
      <c r="C15" s="14" t="s">
        <v>351</v>
      </c>
      <c r="D15" s="14" t="s">
        <v>352</v>
      </c>
      <c r="E15" s="4" t="s">
        <v>334</v>
      </c>
      <c r="F15" s="68"/>
      <c r="G15" s="69"/>
      <c r="H15" s="68"/>
      <c r="I15" s="69"/>
      <c r="J15" s="68">
        <v>1</v>
      </c>
      <c r="K15" s="69">
        <v>55</v>
      </c>
      <c r="L15" s="68"/>
      <c r="M15" s="69"/>
      <c r="N15" s="68"/>
      <c r="O15" s="69"/>
      <c r="P15" s="68">
        <v>1</v>
      </c>
      <c r="Q15" s="69">
        <v>750</v>
      </c>
      <c r="R15" s="68"/>
      <c r="S15" s="69"/>
      <c r="T15" s="68"/>
      <c r="U15" s="69"/>
      <c r="V15" s="68"/>
      <c r="W15" s="69"/>
      <c r="X15" s="68"/>
      <c r="Y15" s="69"/>
      <c r="Z15" s="68"/>
      <c r="AA15" s="69"/>
      <c r="AB15" s="68"/>
      <c r="AC15" s="69"/>
      <c r="AD15" s="68"/>
      <c r="AE15" s="69"/>
      <c r="AF15" s="68"/>
      <c r="AG15" s="69"/>
      <c r="AH15" s="68"/>
      <c r="AI15" s="69"/>
      <c r="AJ15" s="68"/>
      <c r="AK15" s="69"/>
    </row>
    <row r="16" spans="1:37" ht="14.4">
      <c r="A16" s="67" t="s">
        <v>330</v>
      </c>
      <c r="B16" s="14" t="s">
        <v>350</v>
      </c>
      <c r="C16" s="14" t="s">
        <v>351</v>
      </c>
      <c r="D16" s="14" t="s">
        <v>353</v>
      </c>
      <c r="E16" s="4" t="s">
        <v>334</v>
      </c>
      <c r="F16" s="68"/>
      <c r="G16" s="69"/>
      <c r="H16" s="68"/>
      <c r="I16" s="69"/>
      <c r="J16" s="68">
        <v>1</v>
      </c>
      <c r="K16" s="69">
        <v>336</v>
      </c>
      <c r="L16" s="68">
        <v>3</v>
      </c>
      <c r="M16" s="69">
        <v>4183</v>
      </c>
      <c r="N16" s="68"/>
      <c r="O16" s="69"/>
      <c r="P16" s="68"/>
      <c r="Q16" s="69"/>
      <c r="R16" s="68"/>
      <c r="S16" s="69"/>
      <c r="T16" s="68"/>
      <c r="U16" s="69"/>
      <c r="V16" s="68"/>
      <c r="W16" s="69"/>
      <c r="X16" s="68"/>
      <c r="Y16" s="69"/>
      <c r="Z16" s="68"/>
      <c r="AA16" s="69"/>
      <c r="AB16" s="68"/>
      <c r="AC16" s="69"/>
      <c r="AD16" s="68">
        <v>3</v>
      </c>
      <c r="AE16" s="69">
        <v>5548</v>
      </c>
      <c r="AF16" s="68"/>
      <c r="AG16" s="69"/>
      <c r="AH16" s="68"/>
      <c r="AI16" s="69"/>
      <c r="AJ16" s="68"/>
      <c r="AK16" s="69"/>
    </row>
    <row r="17" spans="1:37" ht="14.4">
      <c r="A17" s="67" t="s">
        <v>330</v>
      </c>
      <c r="B17" s="14" t="s">
        <v>350</v>
      </c>
      <c r="C17" s="14" t="s">
        <v>351</v>
      </c>
      <c r="D17" s="14" t="s">
        <v>354</v>
      </c>
      <c r="E17" s="4" t="s">
        <v>334</v>
      </c>
      <c r="F17" s="68"/>
      <c r="G17" s="69"/>
      <c r="H17" s="68"/>
      <c r="I17" s="69"/>
      <c r="J17" s="68">
        <v>7</v>
      </c>
      <c r="K17" s="69">
        <v>5208</v>
      </c>
      <c r="L17" s="68">
        <v>4</v>
      </c>
      <c r="M17" s="69">
        <v>2559</v>
      </c>
      <c r="N17" s="68">
        <v>2</v>
      </c>
      <c r="O17" s="69">
        <v>727</v>
      </c>
      <c r="P17" s="68">
        <v>2</v>
      </c>
      <c r="Q17" s="69">
        <v>417</v>
      </c>
      <c r="R17" s="68"/>
      <c r="S17" s="69"/>
      <c r="T17" s="68"/>
      <c r="U17" s="69"/>
      <c r="V17" s="68"/>
      <c r="W17" s="69"/>
      <c r="X17" s="68"/>
      <c r="Y17" s="69"/>
      <c r="Z17" s="68"/>
      <c r="AA17" s="69"/>
      <c r="AB17" s="68">
        <v>1</v>
      </c>
      <c r="AC17" s="69">
        <v>4190</v>
      </c>
      <c r="AD17" s="68"/>
      <c r="AE17" s="69"/>
      <c r="AF17" s="68"/>
      <c r="AG17" s="69"/>
      <c r="AH17" s="68"/>
      <c r="AI17" s="69"/>
      <c r="AJ17" s="68"/>
      <c r="AK17" s="69"/>
    </row>
    <row r="18" spans="1:37" ht="14.4">
      <c r="A18" s="67" t="s">
        <v>330</v>
      </c>
      <c r="B18" s="14" t="s">
        <v>355</v>
      </c>
      <c r="C18" s="14" t="s">
        <v>356</v>
      </c>
      <c r="D18" s="14" t="s">
        <v>357</v>
      </c>
      <c r="E18" s="4" t="s">
        <v>334</v>
      </c>
      <c r="F18" s="68">
        <v>1</v>
      </c>
      <c r="G18" s="69">
        <v>30</v>
      </c>
      <c r="H18" s="68"/>
      <c r="I18" s="69"/>
      <c r="J18" s="68"/>
      <c r="K18" s="69"/>
      <c r="L18" s="68"/>
      <c r="M18" s="69"/>
      <c r="N18" s="68"/>
      <c r="O18" s="69"/>
      <c r="P18" s="68"/>
      <c r="Q18" s="69"/>
      <c r="R18" s="68"/>
      <c r="S18" s="69"/>
      <c r="T18" s="68"/>
      <c r="U18" s="69"/>
      <c r="V18" s="68"/>
      <c r="W18" s="69"/>
      <c r="X18" s="68"/>
      <c r="Y18" s="69"/>
      <c r="Z18" s="68"/>
      <c r="AA18" s="69"/>
      <c r="AB18" s="68"/>
      <c r="AC18" s="69"/>
      <c r="AD18" s="68"/>
      <c r="AE18" s="69"/>
      <c r="AF18" s="68"/>
      <c r="AG18" s="69"/>
      <c r="AH18" s="68"/>
      <c r="AI18" s="69"/>
      <c r="AJ18" s="68"/>
      <c r="AK18" s="69"/>
    </row>
    <row r="19" spans="1:37" ht="14.4">
      <c r="A19" s="67" t="s">
        <v>330</v>
      </c>
      <c r="B19" s="14" t="s">
        <v>355</v>
      </c>
      <c r="C19" s="14" t="s">
        <v>356</v>
      </c>
      <c r="D19" s="14" t="s">
        <v>358</v>
      </c>
      <c r="E19" s="4" t="s">
        <v>334</v>
      </c>
      <c r="F19" s="68">
        <v>3</v>
      </c>
      <c r="G19" s="69">
        <v>1283</v>
      </c>
      <c r="H19" s="68">
        <v>3</v>
      </c>
      <c r="I19" s="69">
        <v>13086</v>
      </c>
      <c r="J19" s="68">
        <v>4</v>
      </c>
      <c r="K19" s="69">
        <v>2377</v>
      </c>
      <c r="L19" s="68">
        <v>2</v>
      </c>
      <c r="M19" s="69">
        <v>2293</v>
      </c>
      <c r="N19" s="68"/>
      <c r="O19" s="69"/>
      <c r="P19" s="68"/>
      <c r="Q19" s="69"/>
      <c r="R19" s="68"/>
      <c r="S19" s="69"/>
      <c r="T19" s="68"/>
      <c r="U19" s="69"/>
      <c r="V19" s="68"/>
      <c r="W19" s="69"/>
      <c r="X19" s="68"/>
      <c r="Y19" s="69"/>
      <c r="Z19" s="68"/>
      <c r="AA19" s="69"/>
      <c r="AB19" s="68"/>
      <c r="AC19" s="69"/>
      <c r="AD19" s="68"/>
      <c r="AE19" s="69"/>
      <c r="AF19" s="68"/>
      <c r="AG19" s="69"/>
      <c r="AH19" s="68"/>
      <c r="AI19" s="69"/>
      <c r="AJ19" s="68"/>
      <c r="AK19" s="69"/>
    </row>
    <row r="20" spans="1:37" ht="14.4">
      <c r="A20" s="67" t="s">
        <v>330</v>
      </c>
      <c r="B20" s="14" t="s">
        <v>359</v>
      </c>
      <c r="C20" s="14" t="s">
        <v>360</v>
      </c>
      <c r="D20" s="14" t="s">
        <v>361</v>
      </c>
      <c r="E20" s="4" t="s">
        <v>334</v>
      </c>
      <c r="F20" s="68">
        <v>1</v>
      </c>
      <c r="G20" s="69">
        <v>25</v>
      </c>
      <c r="H20" s="68">
        <v>1</v>
      </c>
      <c r="I20" s="69">
        <v>685</v>
      </c>
      <c r="J20" s="68"/>
      <c r="K20" s="69"/>
      <c r="L20" s="68"/>
      <c r="M20" s="69"/>
      <c r="N20" s="68"/>
      <c r="O20" s="69"/>
      <c r="P20" s="68"/>
      <c r="Q20" s="69"/>
      <c r="R20" s="68"/>
      <c r="S20" s="69"/>
      <c r="T20" s="68"/>
      <c r="U20" s="69"/>
      <c r="V20" s="68"/>
      <c r="W20" s="69"/>
      <c r="X20" s="68"/>
      <c r="Y20" s="69"/>
      <c r="Z20" s="68"/>
      <c r="AA20" s="69"/>
      <c r="AB20" s="68"/>
      <c r="AC20" s="69"/>
      <c r="AD20" s="68"/>
      <c r="AE20" s="69"/>
      <c r="AF20" s="68"/>
      <c r="AG20" s="69"/>
      <c r="AH20" s="68"/>
      <c r="AI20" s="69"/>
      <c r="AJ20" s="68"/>
      <c r="AK20" s="69"/>
    </row>
    <row r="21" spans="1:37" ht="14.4">
      <c r="A21" s="67" t="s">
        <v>330</v>
      </c>
      <c r="B21" s="14" t="s">
        <v>359</v>
      </c>
      <c r="C21" s="14" t="s">
        <v>362</v>
      </c>
      <c r="D21" s="14" t="s">
        <v>363</v>
      </c>
      <c r="E21" s="4" t="s">
        <v>334</v>
      </c>
      <c r="F21" s="68">
        <v>1</v>
      </c>
      <c r="G21" s="69">
        <v>87</v>
      </c>
      <c r="H21" s="68"/>
      <c r="I21" s="69"/>
      <c r="J21" s="68"/>
      <c r="K21" s="69"/>
      <c r="L21" s="68"/>
      <c r="M21" s="69"/>
      <c r="N21" s="68"/>
      <c r="O21" s="69"/>
      <c r="P21" s="68"/>
      <c r="Q21" s="69"/>
      <c r="R21" s="68"/>
      <c r="S21" s="69"/>
      <c r="T21" s="68"/>
      <c r="U21" s="69"/>
      <c r="V21" s="68"/>
      <c r="W21" s="69"/>
      <c r="X21" s="68"/>
      <c r="Y21" s="69"/>
      <c r="Z21" s="68"/>
      <c r="AA21" s="69"/>
      <c r="AB21" s="68"/>
      <c r="AC21" s="69"/>
      <c r="AD21" s="68"/>
      <c r="AE21" s="69"/>
      <c r="AF21" s="68"/>
      <c r="AG21" s="69"/>
      <c r="AH21" s="68"/>
      <c r="AI21" s="69"/>
      <c r="AJ21" s="68"/>
      <c r="AK21" s="69"/>
    </row>
    <row r="22" spans="1:37" ht="14.4">
      <c r="A22" s="67" t="s">
        <v>330</v>
      </c>
      <c r="B22" s="14" t="s">
        <v>364</v>
      </c>
      <c r="C22" s="14" t="s">
        <v>365</v>
      </c>
      <c r="D22" s="14" t="s">
        <v>366</v>
      </c>
      <c r="E22" s="4" t="s">
        <v>339</v>
      </c>
      <c r="F22" s="68"/>
      <c r="G22" s="69"/>
      <c r="H22" s="68"/>
      <c r="I22" s="69"/>
      <c r="J22" s="68">
        <v>12</v>
      </c>
      <c r="K22" s="69">
        <v>58239</v>
      </c>
      <c r="L22" s="68">
        <v>8</v>
      </c>
      <c r="M22" s="69">
        <v>8434</v>
      </c>
      <c r="N22" s="68">
        <v>7</v>
      </c>
      <c r="O22" s="69">
        <v>1255</v>
      </c>
      <c r="P22" s="68">
        <v>5</v>
      </c>
      <c r="Q22" s="69">
        <v>1575</v>
      </c>
      <c r="R22" s="68"/>
      <c r="S22" s="69"/>
      <c r="T22" s="68"/>
      <c r="U22" s="69"/>
      <c r="V22" s="68"/>
      <c r="W22" s="69"/>
      <c r="X22" s="68"/>
      <c r="Y22" s="69"/>
      <c r="Z22" s="68"/>
      <c r="AA22" s="69"/>
      <c r="AB22" s="68">
        <v>1</v>
      </c>
      <c r="AC22" s="69">
        <v>600</v>
      </c>
      <c r="AD22" s="68">
        <v>2</v>
      </c>
      <c r="AE22" s="69">
        <v>3338</v>
      </c>
      <c r="AF22" s="68"/>
      <c r="AG22" s="69"/>
      <c r="AH22" s="68"/>
      <c r="AI22" s="69"/>
      <c r="AJ22" s="68"/>
      <c r="AK22" s="69"/>
    </row>
    <row r="23" spans="1:37" ht="14.4">
      <c r="A23" s="67" t="s">
        <v>330</v>
      </c>
      <c r="B23" s="14" t="s">
        <v>364</v>
      </c>
      <c r="C23" s="14" t="s">
        <v>365</v>
      </c>
      <c r="D23" s="14" t="s">
        <v>367</v>
      </c>
      <c r="E23" s="4" t="s">
        <v>339</v>
      </c>
      <c r="F23" s="68"/>
      <c r="G23" s="69"/>
      <c r="H23" s="68"/>
      <c r="I23" s="69"/>
      <c r="J23" s="68"/>
      <c r="K23" s="69"/>
      <c r="L23" s="68"/>
      <c r="M23" s="69"/>
      <c r="N23" s="68"/>
      <c r="O23" s="69"/>
      <c r="P23" s="68"/>
      <c r="Q23" s="69"/>
      <c r="R23" s="68"/>
      <c r="S23" s="69"/>
      <c r="T23" s="68"/>
      <c r="U23" s="69"/>
      <c r="V23" s="68"/>
      <c r="W23" s="69"/>
      <c r="X23" s="68"/>
      <c r="Y23" s="69"/>
      <c r="Z23" s="68"/>
      <c r="AA23" s="69"/>
      <c r="AB23" s="68">
        <v>4</v>
      </c>
      <c r="AC23" s="69">
        <v>1671</v>
      </c>
      <c r="AD23" s="68"/>
      <c r="AE23" s="69"/>
      <c r="AF23" s="68"/>
      <c r="AG23" s="69"/>
      <c r="AH23" s="68"/>
      <c r="AI23" s="69"/>
      <c r="AJ23" s="68"/>
      <c r="AK23" s="69"/>
    </row>
    <row r="24" spans="1:37" ht="14.4">
      <c r="A24" s="67" t="s">
        <v>330</v>
      </c>
      <c r="B24" s="14" t="s">
        <v>364</v>
      </c>
      <c r="C24" s="14" t="s">
        <v>365</v>
      </c>
      <c r="D24" s="14" t="s">
        <v>368</v>
      </c>
      <c r="E24" s="4" t="s">
        <v>339</v>
      </c>
      <c r="F24" s="68"/>
      <c r="G24" s="69"/>
      <c r="H24" s="68"/>
      <c r="I24" s="69"/>
      <c r="J24" s="68"/>
      <c r="K24" s="69"/>
      <c r="L24" s="68">
        <v>1</v>
      </c>
      <c r="M24" s="69">
        <v>801</v>
      </c>
      <c r="N24" s="68">
        <v>4</v>
      </c>
      <c r="O24" s="69">
        <v>2338</v>
      </c>
      <c r="P24" s="68">
        <v>3</v>
      </c>
      <c r="Q24" s="69">
        <v>2956</v>
      </c>
      <c r="R24" s="68"/>
      <c r="S24" s="69"/>
      <c r="T24" s="68"/>
      <c r="U24" s="69"/>
      <c r="V24" s="68"/>
      <c r="W24" s="69"/>
      <c r="X24" s="68"/>
      <c r="Y24" s="69"/>
      <c r="Z24" s="68"/>
      <c r="AA24" s="69"/>
      <c r="AB24" s="68"/>
      <c r="AC24" s="69"/>
      <c r="AD24" s="68"/>
      <c r="AE24" s="69"/>
      <c r="AF24" s="68"/>
      <c r="AG24" s="69"/>
      <c r="AH24" s="68"/>
      <c r="AI24" s="69"/>
      <c r="AJ24" s="68"/>
      <c r="AK24" s="69"/>
    </row>
    <row r="25" spans="1:37" ht="14.4">
      <c r="A25" s="67" t="s">
        <v>330</v>
      </c>
      <c r="B25" s="14" t="s">
        <v>364</v>
      </c>
      <c r="C25" s="14" t="s">
        <v>365</v>
      </c>
      <c r="D25" s="14" t="s">
        <v>369</v>
      </c>
      <c r="E25" s="4" t="s">
        <v>339</v>
      </c>
      <c r="F25" s="68"/>
      <c r="G25" s="69"/>
      <c r="H25" s="68"/>
      <c r="I25" s="69"/>
      <c r="J25" s="68">
        <v>1</v>
      </c>
      <c r="K25" s="69">
        <v>1828</v>
      </c>
      <c r="L25" s="68"/>
      <c r="M25" s="69"/>
      <c r="N25" s="68"/>
      <c r="O25" s="69"/>
      <c r="P25" s="68"/>
      <c r="Q25" s="69"/>
      <c r="R25" s="68"/>
      <c r="S25" s="69"/>
      <c r="T25" s="68"/>
      <c r="U25" s="69"/>
      <c r="V25" s="68"/>
      <c r="W25" s="69"/>
      <c r="X25" s="68"/>
      <c r="Y25" s="69"/>
      <c r="Z25" s="68"/>
      <c r="AA25" s="69"/>
      <c r="AB25" s="68"/>
      <c r="AC25" s="69"/>
      <c r="AD25" s="68"/>
      <c r="AE25" s="69"/>
      <c r="AF25" s="68"/>
      <c r="AG25" s="69"/>
      <c r="AH25" s="68"/>
      <c r="AI25" s="69"/>
      <c r="AJ25" s="68"/>
      <c r="AK25" s="69"/>
    </row>
    <row r="26" spans="1:37" ht="14.4">
      <c r="A26" s="67" t="s">
        <v>330</v>
      </c>
      <c r="B26" s="14" t="s">
        <v>364</v>
      </c>
      <c r="C26" s="14" t="s">
        <v>365</v>
      </c>
      <c r="D26" s="14" t="s">
        <v>370</v>
      </c>
      <c r="E26" s="4" t="s">
        <v>334</v>
      </c>
      <c r="F26" s="68"/>
      <c r="G26" s="69"/>
      <c r="H26" s="68"/>
      <c r="I26" s="69"/>
      <c r="J26" s="68"/>
      <c r="K26" s="69"/>
      <c r="L26" s="68"/>
      <c r="M26" s="69"/>
      <c r="N26" s="68">
        <v>1</v>
      </c>
      <c r="O26" s="69">
        <v>260</v>
      </c>
      <c r="P26" s="68">
        <v>1</v>
      </c>
      <c r="Q26" s="69">
        <v>18</v>
      </c>
      <c r="R26" s="68"/>
      <c r="S26" s="69"/>
      <c r="T26" s="68"/>
      <c r="U26" s="69"/>
      <c r="V26" s="68"/>
      <c r="W26" s="69"/>
      <c r="X26" s="68"/>
      <c r="Y26" s="69"/>
      <c r="Z26" s="68"/>
      <c r="AA26" s="69"/>
      <c r="AB26" s="68"/>
      <c r="AC26" s="69"/>
      <c r="AD26" s="68">
        <v>1</v>
      </c>
      <c r="AE26" s="69">
        <v>11</v>
      </c>
      <c r="AF26" s="68"/>
      <c r="AG26" s="69"/>
      <c r="AH26" s="68"/>
      <c r="AI26" s="69"/>
      <c r="AJ26" s="68"/>
      <c r="AK26" s="69"/>
    </row>
    <row r="27" spans="1:37" ht="14.4">
      <c r="A27" s="67" t="s">
        <v>330</v>
      </c>
      <c r="B27" s="14" t="s">
        <v>364</v>
      </c>
      <c r="C27" s="14" t="s">
        <v>365</v>
      </c>
      <c r="D27" s="14" t="s">
        <v>371</v>
      </c>
      <c r="E27" s="4" t="s">
        <v>339</v>
      </c>
      <c r="F27" s="68">
        <v>1</v>
      </c>
      <c r="G27" s="69">
        <v>804</v>
      </c>
      <c r="H27" s="68"/>
      <c r="I27" s="69"/>
      <c r="J27" s="68">
        <v>9</v>
      </c>
      <c r="K27" s="69">
        <v>9321</v>
      </c>
      <c r="L27" s="68">
        <v>2</v>
      </c>
      <c r="M27" s="69">
        <v>2146</v>
      </c>
      <c r="N27" s="68">
        <v>8</v>
      </c>
      <c r="O27" s="69">
        <v>3424</v>
      </c>
      <c r="P27" s="68">
        <v>1</v>
      </c>
      <c r="Q27" s="69">
        <v>632</v>
      </c>
      <c r="R27" s="68"/>
      <c r="S27" s="69"/>
      <c r="T27" s="68"/>
      <c r="U27" s="69"/>
      <c r="V27" s="68"/>
      <c r="W27" s="69"/>
      <c r="X27" s="68"/>
      <c r="Y27" s="69"/>
      <c r="Z27" s="68"/>
      <c r="AA27" s="69"/>
      <c r="AB27" s="68"/>
      <c r="AC27" s="69"/>
      <c r="AD27" s="68"/>
      <c r="AE27" s="69"/>
      <c r="AF27" s="68"/>
      <c r="AG27" s="69"/>
      <c r="AH27" s="68"/>
      <c r="AI27" s="69"/>
      <c r="AJ27" s="68"/>
      <c r="AK27" s="69"/>
    </row>
    <row r="28" spans="1:37" ht="14.4">
      <c r="A28" s="67" t="s">
        <v>330</v>
      </c>
      <c r="B28" s="14" t="s">
        <v>364</v>
      </c>
      <c r="C28" s="14" t="s">
        <v>365</v>
      </c>
      <c r="D28" s="14" t="s">
        <v>372</v>
      </c>
      <c r="E28" s="4" t="s">
        <v>339</v>
      </c>
      <c r="F28" s="68">
        <v>11</v>
      </c>
      <c r="G28" s="69">
        <v>16273</v>
      </c>
      <c r="H28" s="68">
        <v>12</v>
      </c>
      <c r="I28" s="69">
        <v>41603</v>
      </c>
      <c r="J28" s="68">
        <v>10</v>
      </c>
      <c r="K28" s="69">
        <v>7037</v>
      </c>
      <c r="L28" s="68">
        <v>6</v>
      </c>
      <c r="M28" s="69">
        <v>2716</v>
      </c>
      <c r="N28" s="68">
        <v>11</v>
      </c>
      <c r="O28" s="69">
        <v>6710</v>
      </c>
      <c r="P28" s="68">
        <v>11</v>
      </c>
      <c r="Q28" s="69">
        <v>6213</v>
      </c>
      <c r="R28" s="68">
        <v>1</v>
      </c>
      <c r="S28" s="69">
        <v>1928</v>
      </c>
      <c r="T28" s="68">
        <v>4</v>
      </c>
      <c r="U28" s="69">
        <v>23603</v>
      </c>
      <c r="V28" s="68">
        <v>4</v>
      </c>
      <c r="W28" s="69">
        <v>7975</v>
      </c>
      <c r="X28" s="68">
        <v>3</v>
      </c>
      <c r="Y28" s="69">
        <v>8609</v>
      </c>
      <c r="Z28" s="68"/>
      <c r="AA28" s="69"/>
      <c r="AB28" s="68">
        <v>3</v>
      </c>
      <c r="AC28" s="69">
        <v>5692</v>
      </c>
      <c r="AD28" s="68"/>
      <c r="AE28" s="69"/>
      <c r="AF28" s="68"/>
      <c r="AG28" s="69"/>
      <c r="AH28" s="68"/>
      <c r="AI28" s="69"/>
      <c r="AJ28" s="68"/>
      <c r="AK28" s="69"/>
    </row>
    <row r="29" spans="1:37" ht="14.4">
      <c r="A29" s="67" t="s">
        <v>330</v>
      </c>
      <c r="B29" s="14" t="s">
        <v>364</v>
      </c>
      <c r="C29" s="14" t="s">
        <v>365</v>
      </c>
      <c r="D29" s="14" t="s">
        <v>373</v>
      </c>
      <c r="E29" s="4" t="s">
        <v>339</v>
      </c>
      <c r="F29" s="68"/>
      <c r="G29" s="69"/>
      <c r="H29" s="68"/>
      <c r="I29" s="69"/>
      <c r="J29" s="68">
        <v>2</v>
      </c>
      <c r="K29" s="69">
        <v>1358</v>
      </c>
      <c r="L29" s="68"/>
      <c r="M29" s="69"/>
      <c r="N29" s="68">
        <v>1</v>
      </c>
      <c r="O29" s="69">
        <v>16</v>
      </c>
      <c r="P29" s="68"/>
      <c r="Q29" s="69"/>
      <c r="R29" s="68"/>
      <c r="S29" s="69"/>
      <c r="T29" s="68"/>
      <c r="U29" s="69"/>
      <c r="V29" s="68"/>
      <c r="W29" s="69"/>
      <c r="X29" s="68"/>
      <c r="Y29" s="69"/>
      <c r="Z29" s="68">
        <v>1</v>
      </c>
      <c r="AA29" s="69">
        <v>6989</v>
      </c>
      <c r="AB29" s="68"/>
      <c r="AC29" s="69"/>
      <c r="AD29" s="68"/>
      <c r="AE29" s="69"/>
      <c r="AF29" s="68"/>
      <c r="AG29" s="69"/>
      <c r="AH29" s="68"/>
      <c r="AI29" s="69"/>
      <c r="AJ29" s="68"/>
      <c r="AK29" s="69"/>
    </row>
    <row r="30" spans="1:37" ht="14.4">
      <c r="A30" s="67" t="s">
        <v>330</v>
      </c>
      <c r="B30" s="14" t="s">
        <v>364</v>
      </c>
      <c r="C30" s="14" t="s">
        <v>365</v>
      </c>
      <c r="D30" s="14" t="s">
        <v>160</v>
      </c>
      <c r="E30" s="4" t="s">
        <v>339</v>
      </c>
      <c r="F30" s="68"/>
      <c r="G30" s="69"/>
      <c r="H30" s="68"/>
      <c r="I30" s="69"/>
      <c r="J30" s="68"/>
      <c r="K30" s="69"/>
      <c r="L30" s="68"/>
      <c r="M30" s="69"/>
      <c r="N30" s="68">
        <v>5</v>
      </c>
      <c r="O30" s="69">
        <v>1990</v>
      </c>
      <c r="P30" s="68"/>
      <c r="Q30" s="69"/>
      <c r="R30" s="68"/>
      <c r="S30" s="69"/>
      <c r="T30" s="68">
        <v>2</v>
      </c>
      <c r="U30" s="69">
        <v>9828</v>
      </c>
      <c r="V30" s="68">
        <v>2</v>
      </c>
      <c r="W30" s="69">
        <v>5981</v>
      </c>
      <c r="X30" s="68">
        <v>5</v>
      </c>
      <c r="Y30" s="69">
        <v>24910</v>
      </c>
      <c r="Z30" s="68"/>
      <c r="AA30" s="69"/>
      <c r="AB30" s="68"/>
      <c r="AC30" s="69"/>
      <c r="AD30" s="68"/>
      <c r="AE30" s="69"/>
      <c r="AF30" s="68"/>
      <c r="AG30" s="69"/>
      <c r="AH30" s="68"/>
      <c r="AI30" s="69"/>
      <c r="AJ30" s="68"/>
      <c r="AK30" s="69"/>
    </row>
    <row r="31" spans="1:37" ht="14.4">
      <c r="A31" s="67" t="s">
        <v>330</v>
      </c>
      <c r="B31" s="14" t="s">
        <v>374</v>
      </c>
      <c r="C31" s="14" t="s">
        <v>375</v>
      </c>
      <c r="D31" s="14" t="s">
        <v>376</v>
      </c>
      <c r="E31" s="4" t="s">
        <v>334</v>
      </c>
      <c r="F31" s="68"/>
      <c r="G31" s="69"/>
      <c r="H31" s="68"/>
      <c r="I31" s="69"/>
      <c r="J31" s="68"/>
      <c r="K31" s="69"/>
      <c r="L31" s="68"/>
      <c r="M31" s="69"/>
      <c r="N31" s="68">
        <v>2</v>
      </c>
      <c r="O31" s="69">
        <v>939</v>
      </c>
      <c r="P31" s="68"/>
      <c r="Q31" s="69"/>
      <c r="R31" s="68"/>
      <c r="S31" s="69"/>
      <c r="T31" s="68"/>
      <c r="U31" s="69"/>
      <c r="V31" s="68"/>
      <c r="W31" s="69"/>
      <c r="X31" s="68"/>
      <c r="Y31" s="69"/>
      <c r="Z31" s="68"/>
      <c r="AA31" s="69"/>
      <c r="AB31" s="68"/>
      <c r="AC31" s="69"/>
      <c r="AD31" s="68"/>
      <c r="AE31" s="69"/>
      <c r="AF31" s="68"/>
      <c r="AG31" s="69"/>
      <c r="AH31" s="68"/>
      <c r="AI31" s="69"/>
      <c r="AJ31" s="68"/>
      <c r="AK31" s="69"/>
    </row>
    <row r="32" spans="1:37" ht="14.4">
      <c r="A32" s="67" t="s">
        <v>330</v>
      </c>
      <c r="B32" s="14" t="s">
        <v>377</v>
      </c>
      <c r="C32" s="14" t="s">
        <v>378</v>
      </c>
      <c r="D32" s="14" t="s">
        <v>51</v>
      </c>
      <c r="E32" s="4" t="s">
        <v>334</v>
      </c>
      <c r="F32" s="68">
        <v>11</v>
      </c>
      <c r="G32" s="69">
        <v>22852</v>
      </c>
      <c r="H32" s="68">
        <v>9</v>
      </c>
      <c r="I32" s="69">
        <v>36194</v>
      </c>
      <c r="J32" s="68">
        <v>12</v>
      </c>
      <c r="K32" s="69">
        <v>15543</v>
      </c>
      <c r="L32" s="68">
        <v>8</v>
      </c>
      <c r="M32" s="69">
        <v>12968</v>
      </c>
      <c r="N32" s="68">
        <v>12</v>
      </c>
      <c r="O32" s="69">
        <v>80670</v>
      </c>
      <c r="P32" s="68">
        <v>12</v>
      </c>
      <c r="Q32" s="69">
        <v>65525</v>
      </c>
      <c r="R32" s="68"/>
      <c r="S32" s="69"/>
      <c r="T32" s="68">
        <v>5</v>
      </c>
      <c r="U32" s="69">
        <v>33617</v>
      </c>
      <c r="V32" s="68">
        <v>3</v>
      </c>
      <c r="W32" s="69">
        <v>19807</v>
      </c>
      <c r="X32" s="68">
        <v>4</v>
      </c>
      <c r="Y32" s="69">
        <v>18151</v>
      </c>
      <c r="Z32" s="68">
        <v>3</v>
      </c>
      <c r="AA32" s="69">
        <v>22500</v>
      </c>
      <c r="AB32" s="68">
        <v>8</v>
      </c>
      <c r="AC32" s="69">
        <v>31355</v>
      </c>
      <c r="AD32" s="68"/>
      <c r="AE32" s="69"/>
      <c r="AF32" s="68"/>
      <c r="AG32" s="69"/>
      <c r="AH32" s="68"/>
      <c r="AI32" s="69"/>
      <c r="AJ32" s="68"/>
      <c r="AK32" s="69"/>
    </row>
    <row r="33" spans="1:37" ht="14.4">
      <c r="A33" s="67" t="s">
        <v>330</v>
      </c>
      <c r="B33" s="14" t="s">
        <v>377</v>
      </c>
      <c r="C33" s="14" t="s">
        <v>378</v>
      </c>
      <c r="D33" s="14" t="s">
        <v>379</v>
      </c>
      <c r="E33" s="4" t="s">
        <v>334</v>
      </c>
      <c r="F33" s="68"/>
      <c r="G33" s="69"/>
      <c r="H33" s="68"/>
      <c r="I33" s="69"/>
      <c r="J33" s="68"/>
      <c r="K33" s="69"/>
      <c r="L33" s="68"/>
      <c r="M33" s="69"/>
      <c r="N33" s="68"/>
      <c r="O33" s="69"/>
      <c r="P33" s="68"/>
      <c r="Q33" s="69"/>
      <c r="R33" s="68"/>
      <c r="S33" s="69"/>
      <c r="T33" s="68"/>
      <c r="U33" s="69"/>
      <c r="V33" s="68"/>
      <c r="W33" s="69"/>
      <c r="X33" s="68"/>
      <c r="Y33" s="69"/>
      <c r="Z33" s="68">
        <v>1</v>
      </c>
      <c r="AA33" s="69">
        <v>2112</v>
      </c>
      <c r="AB33" s="68"/>
      <c r="AC33" s="69"/>
      <c r="AD33" s="68"/>
      <c r="AE33" s="69"/>
      <c r="AF33" s="68"/>
      <c r="AG33" s="69"/>
      <c r="AH33" s="68"/>
      <c r="AI33" s="69"/>
      <c r="AJ33" s="68"/>
      <c r="AK33" s="69"/>
    </row>
    <row r="34" spans="1:37" ht="14.4">
      <c r="A34" s="67" t="s">
        <v>330</v>
      </c>
      <c r="B34" s="14" t="s">
        <v>377</v>
      </c>
      <c r="C34" s="14" t="s">
        <v>378</v>
      </c>
      <c r="D34" s="14" t="s">
        <v>380</v>
      </c>
      <c r="E34" s="4" t="s">
        <v>334</v>
      </c>
      <c r="F34" s="68">
        <v>8</v>
      </c>
      <c r="G34" s="69">
        <v>2544</v>
      </c>
      <c r="H34" s="68"/>
      <c r="I34" s="69"/>
      <c r="J34" s="68">
        <v>1</v>
      </c>
      <c r="K34" s="69">
        <v>740</v>
      </c>
      <c r="L34" s="68">
        <v>1</v>
      </c>
      <c r="M34" s="69">
        <v>815</v>
      </c>
      <c r="N34" s="68">
        <v>6</v>
      </c>
      <c r="O34" s="69">
        <v>3044</v>
      </c>
      <c r="P34" s="68">
        <v>3</v>
      </c>
      <c r="Q34" s="69">
        <v>288</v>
      </c>
      <c r="R34" s="68">
        <v>1</v>
      </c>
      <c r="S34" s="69">
        <v>28062</v>
      </c>
      <c r="T34" s="68"/>
      <c r="U34" s="69"/>
      <c r="V34" s="68"/>
      <c r="W34" s="69"/>
      <c r="X34" s="68"/>
      <c r="Y34" s="69"/>
      <c r="Z34" s="68"/>
      <c r="AA34" s="69"/>
      <c r="AB34" s="68"/>
      <c r="AC34" s="69"/>
      <c r="AD34" s="68"/>
      <c r="AE34" s="69"/>
      <c r="AF34" s="68"/>
      <c r="AG34" s="69"/>
      <c r="AH34" s="68"/>
      <c r="AI34" s="69"/>
      <c r="AJ34" s="68"/>
      <c r="AK34" s="69"/>
    </row>
    <row r="35" spans="1:37" ht="14.4">
      <c r="A35" s="67" t="s">
        <v>330</v>
      </c>
      <c r="B35" s="14" t="s">
        <v>381</v>
      </c>
      <c r="C35" s="14" t="s">
        <v>382</v>
      </c>
      <c r="D35" s="14" t="s">
        <v>383</v>
      </c>
      <c r="E35" s="4" t="s">
        <v>334</v>
      </c>
      <c r="F35" s="68">
        <v>1</v>
      </c>
      <c r="G35" s="69">
        <v>341</v>
      </c>
      <c r="H35" s="68"/>
      <c r="I35" s="69"/>
      <c r="J35" s="68"/>
      <c r="K35" s="69"/>
      <c r="L35" s="68"/>
      <c r="M35" s="69"/>
      <c r="N35" s="68"/>
      <c r="O35" s="69"/>
      <c r="P35" s="68"/>
      <c r="Q35" s="69"/>
      <c r="R35" s="68"/>
      <c r="S35" s="69"/>
      <c r="T35" s="68"/>
      <c r="U35" s="69"/>
      <c r="V35" s="68"/>
      <c r="W35" s="69"/>
      <c r="X35" s="68"/>
      <c r="Y35" s="69"/>
      <c r="Z35" s="68"/>
      <c r="AA35" s="69"/>
      <c r="AB35" s="68"/>
      <c r="AC35" s="69"/>
      <c r="AD35" s="68"/>
      <c r="AE35" s="69"/>
      <c r="AF35" s="68"/>
      <c r="AG35" s="69"/>
      <c r="AH35" s="68"/>
      <c r="AI35" s="69"/>
      <c r="AJ35" s="68"/>
      <c r="AK35" s="69"/>
    </row>
    <row r="36" spans="1:37" ht="14.4">
      <c r="A36" s="67" t="s">
        <v>330</v>
      </c>
      <c r="B36" s="14" t="s">
        <v>381</v>
      </c>
      <c r="C36" s="14" t="s">
        <v>382</v>
      </c>
      <c r="D36" s="14" t="s">
        <v>155</v>
      </c>
      <c r="E36" s="4" t="s">
        <v>334</v>
      </c>
      <c r="F36" s="68"/>
      <c r="G36" s="69"/>
      <c r="H36" s="68"/>
      <c r="I36" s="69"/>
      <c r="J36" s="68"/>
      <c r="K36" s="69"/>
      <c r="L36" s="68"/>
      <c r="M36" s="69"/>
      <c r="N36" s="68"/>
      <c r="O36" s="69"/>
      <c r="P36" s="68"/>
      <c r="Q36" s="69"/>
      <c r="R36" s="68"/>
      <c r="S36" s="69"/>
      <c r="T36" s="68"/>
      <c r="U36" s="69"/>
      <c r="V36" s="68"/>
      <c r="W36" s="69"/>
      <c r="X36" s="68"/>
      <c r="Y36" s="69"/>
      <c r="Z36" s="68">
        <v>1</v>
      </c>
      <c r="AA36" s="69">
        <v>13487</v>
      </c>
      <c r="AB36" s="68"/>
      <c r="AC36" s="69"/>
      <c r="AD36" s="68"/>
      <c r="AE36" s="69"/>
      <c r="AF36" s="68"/>
      <c r="AG36" s="69"/>
      <c r="AH36" s="68"/>
      <c r="AI36" s="69"/>
      <c r="AJ36" s="68"/>
      <c r="AK36" s="69"/>
    </row>
    <row r="37" spans="1:37" ht="14.4">
      <c r="A37" s="67" t="s">
        <v>330</v>
      </c>
      <c r="B37" s="14" t="s">
        <v>384</v>
      </c>
      <c r="C37" s="14" t="s">
        <v>385</v>
      </c>
      <c r="D37" s="14" t="s">
        <v>386</v>
      </c>
      <c r="E37" s="4" t="s">
        <v>334</v>
      </c>
      <c r="F37" s="68"/>
      <c r="G37" s="69"/>
      <c r="H37" s="68"/>
      <c r="I37" s="69"/>
      <c r="J37" s="68"/>
      <c r="K37" s="69"/>
      <c r="L37" s="68"/>
      <c r="M37" s="69"/>
      <c r="N37" s="68"/>
      <c r="O37" s="69"/>
      <c r="P37" s="68"/>
      <c r="Q37" s="69"/>
      <c r="R37" s="68"/>
      <c r="S37" s="69"/>
      <c r="T37" s="68"/>
      <c r="U37" s="69"/>
      <c r="V37" s="68"/>
      <c r="W37" s="69"/>
      <c r="X37" s="68"/>
      <c r="Y37" s="69"/>
      <c r="Z37" s="68"/>
      <c r="AA37" s="69"/>
      <c r="AB37" s="68"/>
      <c r="AC37" s="69"/>
      <c r="AD37" s="68">
        <v>1</v>
      </c>
      <c r="AE37" s="69">
        <v>335</v>
      </c>
      <c r="AF37" s="68"/>
      <c r="AG37" s="69"/>
      <c r="AH37" s="68">
        <v>1</v>
      </c>
      <c r="AI37" s="69">
        <v>2473</v>
      </c>
      <c r="AJ37" s="68"/>
      <c r="AK37" s="69"/>
    </row>
    <row r="38" spans="1:37" ht="14.4">
      <c r="A38" s="67" t="s">
        <v>330</v>
      </c>
      <c r="B38" s="14" t="s">
        <v>384</v>
      </c>
      <c r="C38" s="14" t="s">
        <v>385</v>
      </c>
      <c r="D38" s="14" t="s">
        <v>387</v>
      </c>
      <c r="E38" s="4" t="s">
        <v>334</v>
      </c>
      <c r="F38" s="68"/>
      <c r="G38" s="69"/>
      <c r="H38" s="68"/>
      <c r="I38" s="69"/>
      <c r="J38" s="68"/>
      <c r="K38" s="69"/>
      <c r="L38" s="68"/>
      <c r="M38" s="69"/>
      <c r="N38" s="68"/>
      <c r="O38" s="69"/>
      <c r="P38" s="68"/>
      <c r="Q38" s="69"/>
      <c r="R38" s="68"/>
      <c r="S38" s="69"/>
      <c r="T38" s="68"/>
      <c r="U38" s="69"/>
      <c r="V38" s="68"/>
      <c r="W38" s="69"/>
      <c r="X38" s="68"/>
      <c r="Y38" s="69"/>
      <c r="Z38" s="68"/>
      <c r="AA38" s="69"/>
      <c r="AB38" s="68"/>
      <c r="AC38" s="69"/>
      <c r="AD38" s="68"/>
      <c r="AE38" s="69"/>
      <c r="AF38" s="68"/>
      <c r="AG38" s="69"/>
      <c r="AH38" s="68">
        <v>1</v>
      </c>
      <c r="AI38" s="69">
        <v>9553</v>
      </c>
      <c r="AJ38" s="68"/>
      <c r="AK38" s="69"/>
    </row>
    <row r="39" spans="1:37" ht="14.4">
      <c r="A39" s="67" t="s">
        <v>330</v>
      </c>
      <c r="B39" s="14" t="s">
        <v>388</v>
      </c>
      <c r="C39" s="14" t="s">
        <v>389</v>
      </c>
      <c r="D39" s="14" t="s">
        <v>390</v>
      </c>
      <c r="E39" s="4" t="s">
        <v>334</v>
      </c>
      <c r="F39" s="68">
        <v>1</v>
      </c>
      <c r="G39" s="69">
        <v>710</v>
      </c>
      <c r="H39" s="68"/>
      <c r="I39" s="69"/>
      <c r="J39" s="68">
        <v>2</v>
      </c>
      <c r="K39" s="69">
        <v>2017</v>
      </c>
      <c r="L39" s="68"/>
      <c r="M39" s="69"/>
      <c r="N39" s="68">
        <v>1</v>
      </c>
      <c r="O39" s="69">
        <v>477</v>
      </c>
      <c r="P39" s="68">
        <v>3</v>
      </c>
      <c r="Q39" s="69">
        <v>1181</v>
      </c>
      <c r="R39" s="68"/>
      <c r="S39" s="69"/>
      <c r="T39" s="68"/>
      <c r="U39" s="69"/>
      <c r="V39" s="68"/>
      <c r="W39" s="69"/>
      <c r="X39" s="68"/>
      <c r="Y39" s="69"/>
      <c r="Z39" s="68"/>
      <c r="AA39" s="69"/>
      <c r="AB39" s="68"/>
      <c r="AC39" s="69"/>
      <c r="AD39" s="68"/>
      <c r="AE39" s="69"/>
      <c r="AF39" s="68"/>
      <c r="AG39" s="69"/>
      <c r="AH39" s="68"/>
      <c r="AI39" s="69"/>
      <c r="AJ39" s="68"/>
      <c r="AK39" s="69"/>
    </row>
    <row r="40" spans="1:37" ht="14.4">
      <c r="A40" s="67" t="s">
        <v>330</v>
      </c>
      <c r="B40" s="14" t="s">
        <v>388</v>
      </c>
      <c r="C40" s="14" t="s">
        <v>389</v>
      </c>
      <c r="D40" s="14" t="s">
        <v>391</v>
      </c>
      <c r="E40" s="4" t="s">
        <v>334</v>
      </c>
      <c r="F40" s="68">
        <v>2</v>
      </c>
      <c r="G40" s="69">
        <v>395</v>
      </c>
      <c r="H40" s="68">
        <v>1</v>
      </c>
      <c r="I40" s="69">
        <v>2460</v>
      </c>
      <c r="J40" s="68"/>
      <c r="K40" s="69"/>
      <c r="L40" s="68"/>
      <c r="M40" s="69"/>
      <c r="N40" s="68"/>
      <c r="O40" s="69"/>
      <c r="P40" s="68"/>
      <c r="Q40" s="69"/>
      <c r="R40" s="68"/>
      <c r="S40" s="69"/>
      <c r="T40" s="68"/>
      <c r="U40" s="69"/>
      <c r="V40" s="68"/>
      <c r="W40" s="69"/>
      <c r="X40" s="68"/>
      <c r="Y40" s="69"/>
      <c r="Z40" s="68"/>
      <c r="AA40" s="69"/>
      <c r="AB40" s="68"/>
      <c r="AC40" s="69"/>
      <c r="AD40" s="68"/>
      <c r="AE40" s="69"/>
      <c r="AF40" s="68"/>
      <c r="AG40" s="69"/>
      <c r="AH40" s="68"/>
      <c r="AI40" s="69"/>
      <c r="AJ40" s="68"/>
      <c r="AK40" s="69"/>
    </row>
    <row r="41" spans="1:37" ht="14.4">
      <c r="A41" s="67" t="s">
        <v>330</v>
      </c>
      <c r="B41" s="14" t="s">
        <v>388</v>
      </c>
      <c r="C41" s="14" t="s">
        <v>389</v>
      </c>
      <c r="D41" s="14" t="s">
        <v>392</v>
      </c>
      <c r="E41" s="4" t="s">
        <v>334</v>
      </c>
      <c r="F41" s="68">
        <v>3</v>
      </c>
      <c r="G41" s="69">
        <v>1119</v>
      </c>
      <c r="H41" s="68"/>
      <c r="I41" s="69"/>
      <c r="J41" s="68">
        <v>1</v>
      </c>
      <c r="K41" s="69">
        <v>2034</v>
      </c>
      <c r="L41" s="68"/>
      <c r="M41" s="69"/>
      <c r="N41" s="68">
        <v>2</v>
      </c>
      <c r="O41" s="69">
        <v>907</v>
      </c>
      <c r="P41" s="68">
        <v>3</v>
      </c>
      <c r="Q41" s="69">
        <v>1738</v>
      </c>
      <c r="R41" s="68"/>
      <c r="S41" s="69"/>
      <c r="T41" s="68"/>
      <c r="U41" s="69"/>
      <c r="V41" s="68"/>
      <c r="W41" s="69"/>
      <c r="X41" s="68">
        <v>2</v>
      </c>
      <c r="Y41" s="69">
        <v>6669</v>
      </c>
      <c r="Z41" s="68">
        <v>1</v>
      </c>
      <c r="AA41" s="69">
        <v>1922</v>
      </c>
      <c r="AB41" s="68">
        <v>1</v>
      </c>
      <c r="AC41" s="69">
        <v>114</v>
      </c>
      <c r="AD41" s="68"/>
      <c r="AE41" s="69"/>
      <c r="AF41" s="68"/>
      <c r="AG41" s="69"/>
      <c r="AH41" s="68"/>
      <c r="AI41" s="69"/>
      <c r="AJ41" s="68"/>
      <c r="AK41" s="69"/>
    </row>
    <row r="42" spans="1:37" ht="14.4">
      <c r="A42" s="67" t="s">
        <v>330</v>
      </c>
      <c r="B42" s="14" t="s">
        <v>388</v>
      </c>
      <c r="C42" s="14" t="s">
        <v>389</v>
      </c>
      <c r="D42" s="14" t="s">
        <v>393</v>
      </c>
      <c r="E42" s="4" t="s">
        <v>334</v>
      </c>
      <c r="F42" s="68"/>
      <c r="G42" s="69"/>
      <c r="H42" s="68"/>
      <c r="I42" s="69"/>
      <c r="J42" s="68"/>
      <c r="K42" s="69"/>
      <c r="L42" s="68"/>
      <c r="M42" s="69"/>
      <c r="N42" s="68"/>
      <c r="O42" s="69"/>
      <c r="P42" s="68"/>
      <c r="Q42" s="69"/>
      <c r="R42" s="68"/>
      <c r="S42" s="69"/>
      <c r="T42" s="68"/>
      <c r="U42" s="69"/>
      <c r="V42" s="68"/>
      <c r="W42" s="69"/>
      <c r="X42" s="68"/>
      <c r="Y42" s="69"/>
      <c r="Z42" s="68"/>
      <c r="AA42" s="69"/>
      <c r="AB42" s="68">
        <v>2</v>
      </c>
      <c r="AC42" s="69">
        <v>3184</v>
      </c>
      <c r="AD42" s="68"/>
      <c r="AE42" s="69"/>
      <c r="AF42" s="68"/>
      <c r="AG42" s="69"/>
      <c r="AH42" s="68"/>
      <c r="AI42" s="69"/>
      <c r="AJ42" s="68"/>
      <c r="AK42" s="69"/>
    </row>
    <row r="43" spans="1:37" ht="14.4">
      <c r="A43" s="67" t="s">
        <v>330</v>
      </c>
      <c r="B43" s="14" t="s">
        <v>388</v>
      </c>
      <c r="C43" s="14" t="s">
        <v>394</v>
      </c>
      <c r="D43" s="14" t="s">
        <v>395</v>
      </c>
      <c r="E43" s="4" t="s">
        <v>334</v>
      </c>
      <c r="F43" s="68">
        <v>1</v>
      </c>
      <c r="G43" s="69">
        <v>1449</v>
      </c>
      <c r="H43" s="68"/>
      <c r="I43" s="69"/>
      <c r="J43" s="68">
        <v>2</v>
      </c>
      <c r="K43" s="69">
        <v>6005</v>
      </c>
      <c r="L43" s="68"/>
      <c r="M43" s="69"/>
      <c r="N43" s="68">
        <v>10</v>
      </c>
      <c r="O43" s="69">
        <v>58814</v>
      </c>
      <c r="P43" s="68">
        <v>11</v>
      </c>
      <c r="Q43" s="69">
        <v>69975</v>
      </c>
      <c r="R43" s="68">
        <v>2</v>
      </c>
      <c r="S43" s="69">
        <v>78504</v>
      </c>
      <c r="T43" s="68">
        <v>8</v>
      </c>
      <c r="U43" s="69">
        <v>147775</v>
      </c>
      <c r="V43" s="68">
        <v>3</v>
      </c>
      <c r="W43" s="69">
        <v>160447</v>
      </c>
      <c r="X43" s="68">
        <v>3</v>
      </c>
      <c r="Y43" s="69">
        <v>42741</v>
      </c>
      <c r="Z43" s="68">
        <v>12</v>
      </c>
      <c r="AA43" s="69">
        <v>283709</v>
      </c>
      <c r="AB43" s="68">
        <v>12</v>
      </c>
      <c r="AC43" s="69">
        <v>464720</v>
      </c>
      <c r="AD43" s="68">
        <v>9</v>
      </c>
      <c r="AE43" s="69">
        <v>89513</v>
      </c>
      <c r="AF43" s="68"/>
      <c r="AG43" s="69"/>
      <c r="AH43" s="68"/>
      <c r="AI43" s="69"/>
      <c r="AJ43" s="68"/>
      <c r="AK43" s="69"/>
    </row>
    <row r="44" spans="1:37" ht="14.4">
      <c r="A44" s="67" t="s">
        <v>330</v>
      </c>
      <c r="B44" s="14" t="s">
        <v>388</v>
      </c>
      <c r="C44" s="14" t="s">
        <v>394</v>
      </c>
      <c r="D44" s="14" t="s">
        <v>396</v>
      </c>
      <c r="E44" s="4" t="s">
        <v>339</v>
      </c>
      <c r="F44" s="68"/>
      <c r="G44" s="69"/>
      <c r="H44" s="68"/>
      <c r="I44" s="69"/>
      <c r="J44" s="68">
        <v>12</v>
      </c>
      <c r="K44" s="69">
        <v>19013</v>
      </c>
      <c r="L44" s="68"/>
      <c r="M44" s="69"/>
      <c r="N44" s="68"/>
      <c r="O44" s="69"/>
      <c r="P44" s="68"/>
      <c r="Q44" s="69"/>
      <c r="R44" s="68"/>
      <c r="S44" s="69"/>
      <c r="T44" s="68"/>
      <c r="U44" s="69"/>
      <c r="V44" s="68"/>
      <c r="W44" s="69"/>
      <c r="X44" s="68"/>
      <c r="Y44" s="69"/>
      <c r="Z44" s="68"/>
      <c r="AA44" s="69"/>
      <c r="AB44" s="68"/>
      <c r="AC44" s="69"/>
      <c r="AD44" s="68"/>
      <c r="AE44" s="69"/>
      <c r="AF44" s="68"/>
      <c r="AG44" s="69"/>
      <c r="AH44" s="68"/>
      <c r="AI44" s="69"/>
      <c r="AJ44" s="68"/>
      <c r="AK44" s="69"/>
    </row>
    <row r="45" spans="1:37" ht="14.4">
      <c r="A45" s="67" t="s">
        <v>330</v>
      </c>
      <c r="B45" s="14" t="s">
        <v>388</v>
      </c>
      <c r="C45" s="14" t="s">
        <v>394</v>
      </c>
      <c r="D45" s="14" t="s">
        <v>397</v>
      </c>
      <c r="E45" s="4" t="s">
        <v>334</v>
      </c>
      <c r="F45" s="68"/>
      <c r="G45" s="69"/>
      <c r="H45" s="68"/>
      <c r="I45" s="69"/>
      <c r="J45" s="68"/>
      <c r="K45" s="69"/>
      <c r="L45" s="68"/>
      <c r="M45" s="69"/>
      <c r="N45" s="68">
        <v>6</v>
      </c>
      <c r="O45" s="69">
        <v>2005</v>
      </c>
      <c r="P45" s="68">
        <v>5</v>
      </c>
      <c r="Q45" s="69">
        <v>1775</v>
      </c>
      <c r="R45" s="68"/>
      <c r="S45" s="69"/>
      <c r="T45" s="68">
        <v>2</v>
      </c>
      <c r="U45" s="69">
        <v>12037</v>
      </c>
      <c r="V45" s="68"/>
      <c r="W45" s="69"/>
      <c r="X45" s="68">
        <v>1</v>
      </c>
      <c r="Y45" s="69">
        <v>467</v>
      </c>
      <c r="Z45" s="68"/>
      <c r="AA45" s="69"/>
      <c r="AB45" s="68">
        <v>2</v>
      </c>
      <c r="AC45" s="69">
        <v>2526</v>
      </c>
      <c r="AD45" s="68">
        <v>1</v>
      </c>
      <c r="AE45" s="69">
        <v>1787</v>
      </c>
      <c r="AF45" s="68"/>
      <c r="AG45" s="69"/>
      <c r="AH45" s="68"/>
      <c r="AI45" s="69"/>
      <c r="AJ45" s="68"/>
      <c r="AK45" s="69"/>
    </row>
    <row r="46" spans="1:37" ht="14.4">
      <c r="A46" s="67" t="s">
        <v>330</v>
      </c>
      <c r="B46" s="14" t="s">
        <v>388</v>
      </c>
      <c r="C46" s="14" t="s">
        <v>394</v>
      </c>
      <c r="D46" s="14" t="s">
        <v>52</v>
      </c>
      <c r="E46" s="4" t="s">
        <v>334</v>
      </c>
      <c r="F46" s="68">
        <v>10</v>
      </c>
      <c r="G46" s="69">
        <v>3910</v>
      </c>
      <c r="H46" s="68">
        <v>1</v>
      </c>
      <c r="I46" s="69">
        <v>5646</v>
      </c>
      <c r="J46" s="68">
        <v>7</v>
      </c>
      <c r="K46" s="69">
        <v>8347</v>
      </c>
      <c r="L46" s="68">
        <v>12</v>
      </c>
      <c r="M46" s="69">
        <v>55982</v>
      </c>
      <c r="N46" s="68">
        <v>12</v>
      </c>
      <c r="O46" s="69">
        <v>31546</v>
      </c>
      <c r="P46" s="68">
        <v>12</v>
      </c>
      <c r="Q46" s="69">
        <v>20716</v>
      </c>
      <c r="R46" s="68"/>
      <c r="S46" s="69"/>
      <c r="T46" s="68">
        <v>8</v>
      </c>
      <c r="U46" s="69">
        <v>66288</v>
      </c>
      <c r="V46" s="68">
        <v>8</v>
      </c>
      <c r="W46" s="69">
        <v>49664</v>
      </c>
      <c r="X46" s="68">
        <v>4</v>
      </c>
      <c r="Y46" s="69">
        <v>23831</v>
      </c>
      <c r="Z46" s="68"/>
      <c r="AA46" s="69"/>
      <c r="AB46" s="68">
        <v>6</v>
      </c>
      <c r="AC46" s="69">
        <v>8094</v>
      </c>
      <c r="AD46" s="68">
        <v>7</v>
      </c>
      <c r="AE46" s="69">
        <v>12073</v>
      </c>
      <c r="AF46" s="68">
        <v>1</v>
      </c>
      <c r="AG46" s="69">
        <v>34425</v>
      </c>
      <c r="AH46" s="68">
        <v>3</v>
      </c>
      <c r="AI46" s="69">
        <v>37122</v>
      </c>
      <c r="AJ46" s="68">
        <v>3</v>
      </c>
      <c r="AK46" s="69">
        <v>45155</v>
      </c>
    </row>
    <row r="47" spans="1:37" ht="14.4">
      <c r="A47" s="67" t="s">
        <v>330</v>
      </c>
      <c r="B47" s="14" t="s">
        <v>388</v>
      </c>
      <c r="C47" s="14" t="s">
        <v>394</v>
      </c>
      <c r="D47" s="14" t="s">
        <v>398</v>
      </c>
      <c r="E47" s="4" t="s">
        <v>334</v>
      </c>
      <c r="F47" s="68">
        <v>5</v>
      </c>
      <c r="G47" s="69">
        <v>1197</v>
      </c>
      <c r="H47" s="68">
        <v>2</v>
      </c>
      <c r="I47" s="69">
        <v>2362</v>
      </c>
      <c r="J47" s="68">
        <v>1</v>
      </c>
      <c r="K47" s="69">
        <v>919</v>
      </c>
      <c r="L47" s="68"/>
      <c r="M47" s="69"/>
      <c r="N47" s="68">
        <v>1</v>
      </c>
      <c r="O47" s="69">
        <v>268</v>
      </c>
      <c r="P47" s="68"/>
      <c r="Q47" s="69"/>
      <c r="R47" s="68"/>
      <c r="S47" s="69"/>
      <c r="T47" s="68"/>
      <c r="U47" s="69"/>
      <c r="V47" s="68"/>
      <c r="W47" s="69"/>
      <c r="X47" s="68"/>
      <c r="Y47" s="69"/>
      <c r="Z47" s="68"/>
      <c r="AA47" s="69"/>
      <c r="AB47" s="68"/>
      <c r="AC47" s="69"/>
      <c r="AD47" s="68"/>
      <c r="AE47" s="69"/>
      <c r="AF47" s="68"/>
      <c r="AG47" s="69"/>
      <c r="AH47" s="68"/>
      <c r="AI47" s="69"/>
      <c r="AJ47" s="68"/>
      <c r="AK47" s="69"/>
    </row>
    <row r="48" spans="1:37" ht="14.4">
      <c r="A48" s="67" t="s">
        <v>330</v>
      </c>
      <c r="B48" s="14" t="s">
        <v>388</v>
      </c>
      <c r="C48" s="14" t="s">
        <v>394</v>
      </c>
      <c r="D48" s="14" t="s">
        <v>399</v>
      </c>
      <c r="E48" s="4" t="s">
        <v>334</v>
      </c>
      <c r="F48" s="68"/>
      <c r="G48" s="69"/>
      <c r="H48" s="68"/>
      <c r="I48" s="69"/>
      <c r="J48" s="68"/>
      <c r="K48" s="69"/>
      <c r="L48" s="68"/>
      <c r="M48" s="69"/>
      <c r="N48" s="68"/>
      <c r="O48" s="69"/>
      <c r="P48" s="68">
        <v>2</v>
      </c>
      <c r="Q48" s="69">
        <v>616</v>
      </c>
      <c r="R48" s="68"/>
      <c r="S48" s="69"/>
      <c r="T48" s="68"/>
      <c r="U48" s="69"/>
      <c r="V48" s="68"/>
      <c r="W48" s="69"/>
      <c r="X48" s="68"/>
      <c r="Y48" s="69"/>
      <c r="Z48" s="68"/>
      <c r="AA48" s="69"/>
      <c r="AB48" s="68"/>
      <c r="AC48" s="69"/>
      <c r="AD48" s="68"/>
      <c r="AE48" s="69"/>
      <c r="AF48" s="68"/>
      <c r="AG48" s="69"/>
      <c r="AH48" s="68"/>
      <c r="AI48" s="69"/>
      <c r="AJ48" s="68"/>
      <c r="AK48" s="69"/>
    </row>
    <row r="49" spans="1:37" ht="14.4">
      <c r="A49" s="67" t="s">
        <v>330</v>
      </c>
      <c r="B49" s="14" t="s">
        <v>388</v>
      </c>
      <c r="C49" s="14" t="s">
        <v>400</v>
      </c>
      <c r="D49" s="14" t="s">
        <v>50</v>
      </c>
      <c r="E49" s="4" t="s">
        <v>334</v>
      </c>
      <c r="F49" s="68"/>
      <c r="G49" s="69"/>
      <c r="H49" s="68"/>
      <c r="I49" s="69"/>
      <c r="J49" s="68">
        <v>1</v>
      </c>
      <c r="K49" s="69">
        <v>53</v>
      </c>
      <c r="L49" s="68">
        <v>1</v>
      </c>
      <c r="M49" s="69">
        <v>48</v>
      </c>
      <c r="N49" s="68"/>
      <c r="O49" s="69"/>
      <c r="P49" s="68"/>
      <c r="Q49" s="69"/>
      <c r="R49" s="68"/>
      <c r="S49" s="69"/>
      <c r="T49" s="68"/>
      <c r="U49" s="69"/>
      <c r="V49" s="68"/>
      <c r="W49" s="69"/>
      <c r="X49" s="68"/>
      <c r="Y49" s="69"/>
      <c r="Z49" s="68"/>
      <c r="AA49" s="69"/>
      <c r="AB49" s="68"/>
      <c r="AC49" s="69"/>
      <c r="AD49" s="68"/>
      <c r="AE49" s="69"/>
      <c r="AF49" s="68"/>
      <c r="AG49" s="69"/>
      <c r="AH49" s="68"/>
      <c r="AI49" s="69"/>
      <c r="AJ49" s="68"/>
      <c r="AK49" s="69"/>
    </row>
    <row r="50" spans="1:37" ht="14.4">
      <c r="A50" s="67" t="s">
        <v>330</v>
      </c>
      <c r="B50" s="14" t="s">
        <v>388</v>
      </c>
      <c r="C50" s="14" t="s">
        <v>401</v>
      </c>
      <c r="D50" s="14" t="s">
        <v>402</v>
      </c>
      <c r="E50" s="4" t="s">
        <v>334</v>
      </c>
      <c r="F50" s="68"/>
      <c r="G50" s="69"/>
      <c r="H50" s="68"/>
      <c r="I50" s="69"/>
      <c r="J50" s="68">
        <v>1</v>
      </c>
      <c r="K50" s="69">
        <v>695</v>
      </c>
      <c r="L50" s="68"/>
      <c r="M50" s="69"/>
      <c r="N50" s="68"/>
      <c r="O50" s="69"/>
      <c r="P50" s="68"/>
      <c r="Q50" s="69"/>
      <c r="R50" s="68"/>
      <c r="S50" s="69"/>
      <c r="T50" s="68"/>
      <c r="U50" s="69"/>
      <c r="V50" s="68"/>
      <c r="W50" s="69"/>
      <c r="X50" s="68"/>
      <c r="Y50" s="69"/>
      <c r="Z50" s="68"/>
      <c r="AA50" s="69"/>
      <c r="AB50" s="68"/>
      <c r="AC50" s="69"/>
      <c r="AD50" s="68"/>
      <c r="AE50" s="69"/>
      <c r="AF50" s="68"/>
      <c r="AG50" s="69"/>
      <c r="AH50" s="68"/>
      <c r="AI50" s="69"/>
      <c r="AJ50" s="68"/>
      <c r="AK50" s="69"/>
    </row>
    <row r="51" spans="1:37" ht="14.4">
      <c r="A51" s="67" t="s">
        <v>330</v>
      </c>
      <c r="B51" s="14" t="s">
        <v>388</v>
      </c>
      <c r="C51" s="14" t="s">
        <v>401</v>
      </c>
      <c r="D51" s="14" t="s">
        <v>403</v>
      </c>
      <c r="E51" s="4" t="s">
        <v>334</v>
      </c>
      <c r="F51" s="68">
        <v>3</v>
      </c>
      <c r="G51" s="69">
        <v>638</v>
      </c>
      <c r="H51" s="68">
        <v>1</v>
      </c>
      <c r="I51" s="69">
        <v>1554</v>
      </c>
      <c r="J51" s="68">
        <v>1</v>
      </c>
      <c r="K51" s="69">
        <v>169</v>
      </c>
      <c r="L51" s="68"/>
      <c r="M51" s="69"/>
      <c r="N51" s="68">
        <v>1</v>
      </c>
      <c r="O51" s="69">
        <v>524</v>
      </c>
      <c r="P51" s="68">
        <v>6</v>
      </c>
      <c r="Q51" s="69">
        <v>4002</v>
      </c>
      <c r="R51" s="68"/>
      <c r="S51" s="69"/>
      <c r="T51" s="68"/>
      <c r="U51" s="69"/>
      <c r="V51" s="68"/>
      <c r="W51" s="69"/>
      <c r="X51" s="68"/>
      <c r="Y51" s="69"/>
      <c r="Z51" s="68"/>
      <c r="AA51" s="69"/>
      <c r="AB51" s="68"/>
      <c r="AC51" s="69"/>
      <c r="AD51" s="68"/>
      <c r="AE51" s="69"/>
      <c r="AF51" s="68"/>
      <c r="AG51" s="69"/>
      <c r="AH51" s="68"/>
      <c r="AI51" s="69"/>
      <c r="AJ51" s="68"/>
      <c r="AK51" s="69"/>
    </row>
    <row r="52" spans="1:37" ht="14.4">
      <c r="A52" s="67" t="s">
        <v>330</v>
      </c>
      <c r="B52" s="14" t="s">
        <v>388</v>
      </c>
      <c r="C52" s="14" t="s">
        <v>401</v>
      </c>
      <c r="D52" s="14" t="s">
        <v>404</v>
      </c>
      <c r="E52" s="4" t="s">
        <v>334</v>
      </c>
      <c r="F52" s="68"/>
      <c r="G52" s="69"/>
      <c r="H52" s="68"/>
      <c r="I52" s="69"/>
      <c r="J52" s="68">
        <v>1</v>
      </c>
      <c r="K52" s="69">
        <v>904</v>
      </c>
      <c r="L52" s="68">
        <v>1</v>
      </c>
      <c r="M52" s="69">
        <v>427</v>
      </c>
      <c r="N52" s="68"/>
      <c r="O52" s="69"/>
      <c r="P52" s="68"/>
      <c r="Q52" s="69"/>
      <c r="R52" s="68"/>
      <c r="S52" s="69"/>
      <c r="T52" s="68"/>
      <c r="U52" s="69"/>
      <c r="V52" s="68"/>
      <c r="W52" s="69"/>
      <c r="X52" s="68"/>
      <c r="Y52" s="69"/>
      <c r="Z52" s="68"/>
      <c r="AA52" s="69"/>
      <c r="AB52" s="68"/>
      <c r="AC52" s="69"/>
      <c r="AD52" s="68"/>
      <c r="AE52" s="69"/>
      <c r="AF52" s="68"/>
      <c r="AG52" s="69"/>
      <c r="AH52" s="68"/>
      <c r="AI52" s="69"/>
      <c r="AJ52" s="68"/>
      <c r="AK52" s="69"/>
    </row>
    <row r="53" spans="1:37" ht="14.4">
      <c r="A53" s="67" t="s">
        <v>330</v>
      </c>
      <c r="B53" s="14" t="s">
        <v>405</v>
      </c>
      <c r="C53" s="14" t="s">
        <v>406</v>
      </c>
      <c r="D53" s="14" t="s">
        <v>407</v>
      </c>
      <c r="E53" s="4" t="s">
        <v>334</v>
      </c>
      <c r="F53" s="68"/>
      <c r="G53" s="69"/>
      <c r="H53" s="68"/>
      <c r="I53" s="69"/>
      <c r="J53" s="68"/>
      <c r="K53" s="69"/>
      <c r="L53" s="68"/>
      <c r="M53" s="69"/>
      <c r="N53" s="68">
        <v>1</v>
      </c>
      <c r="O53" s="69">
        <v>100</v>
      </c>
      <c r="P53" s="68"/>
      <c r="Q53" s="69"/>
      <c r="R53" s="68"/>
      <c r="S53" s="69"/>
      <c r="T53" s="68"/>
      <c r="U53" s="69"/>
      <c r="V53" s="68"/>
      <c r="W53" s="69"/>
      <c r="X53" s="68"/>
      <c r="Y53" s="69"/>
      <c r="Z53" s="68"/>
      <c r="AA53" s="69"/>
      <c r="AB53" s="68"/>
      <c r="AC53" s="69"/>
      <c r="AD53" s="68"/>
      <c r="AE53" s="69"/>
      <c r="AF53" s="68"/>
      <c r="AG53" s="69"/>
      <c r="AH53" s="68"/>
      <c r="AI53" s="69"/>
      <c r="AJ53" s="68"/>
      <c r="AK53" s="69"/>
    </row>
    <row r="54" spans="1:37" ht="14.4">
      <c r="A54" s="67" t="s">
        <v>330</v>
      </c>
      <c r="B54" s="14" t="s">
        <v>408</v>
      </c>
      <c r="C54" s="14" t="s">
        <v>409</v>
      </c>
      <c r="D54" s="14" t="s">
        <v>410</v>
      </c>
      <c r="E54" s="4" t="s">
        <v>339</v>
      </c>
      <c r="F54" s="68"/>
      <c r="G54" s="69"/>
      <c r="H54" s="68"/>
      <c r="I54" s="69"/>
      <c r="J54" s="68"/>
      <c r="K54" s="69"/>
      <c r="L54" s="68"/>
      <c r="M54" s="69"/>
      <c r="N54" s="68"/>
      <c r="O54" s="69"/>
      <c r="P54" s="68"/>
      <c r="Q54" s="69"/>
      <c r="R54" s="68"/>
      <c r="S54" s="69"/>
      <c r="T54" s="68"/>
      <c r="U54" s="69"/>
      <c r="V54" s="68"/>
      <c r="W54" s="69"/>
      <c r="X54" s="68"/>
      <c r="Y54" s="69"/>
      <c r="Z54" s="68"/>
      <c r="AA54" s="69"/>
      <c r="AB54" s="68"/>
      <c r="AC54" s="69"/>
      <c r="AD54" s="68">
        <v>1</v>
      </c>
      <c r="AE54" s="69">
        <v>4103</v>
      </c>
      <c r="AF54" s="68"/>
      <c r="AG54" s="69"/>
      <c r="AH54" s="68">
        <v>1</v>
      </c>
      <c r="AI54" s="69">
        <v>14083</v>
      </c>
      <c r="AJ54" s="68"/>
      <c r="AK54" s="69"/>
    </row>
    <row r="55" spans="1:37" ht="14.4">
      <c r="A55" s="67" t="s">
        <v>330</v>
      </c>
      <c r="B55" s="14" t="s">
        <v>408</v>
      </c>
      <c r="C55" s="14" t="s">
        <v>409</v>
      </c>
      <c r="D55" s="14" t="s">
        <v>411</v>
      </c>
      <c r="E55" s="4" t="s">
        <v>339</v>
      </c>
      <c r="F55" s="68">
        <v>1</v>
      </c>
      <c r="G55" s="69">
        <v>131</v>
      </c>
      <c r="H55" s="68"/>
      <c r="I55" s="69"/>
      <c r="J55" s="68">
        <v>3</v>
      </c>
      <c r="K55" s="69">
        <v>2321</v>
      </c>
      <c r="L55" s="68"/>
      <c r="M55" s="69"/>
      <c r="N55" s="68"/>
      <c r="O55" s="69"/>
      <c r="P55" s="68"/>
      <c r="Q55" s="69"/>
      <c r="R55" s="68"/>
      <c r="S55" s="69"/>
      <c r="T55" s="68"/>
      <c r="U55" s="69"/>
      <c r="V55" s="68">
        <v>1</v>
      </c>
      <c r="W55" s="69">
        <v>305</v>
      </c>
      <c r="X55" s="68"/>
      <c r="Y55" s="69"/>
      <c r="Z55" s="68"/>
      <c r="AA55" s="69"/>
      <c r="AB55" s="68"/>
      <c r="AC55" s="69"/>
      <c r="AD55" s="68"/>
      <c r="AE55" s="69"/>
      <c r="AF55" s="68"/>
      <c r="AG55" s="69"/>
      <c r="AH55" s="68"/>
      <c r="AI55" s="69"/>
      <c r="AJ55" s="68"/>
      <c r="AK55" s="69"/>
    </row>
    <row r="56" spans="1:37" ht="14.4">
      <c r="A56" s="67" t="s">
        <v>330</v>
      </c>
      <c r="B56" s="14" t="s">
        <v>408</v>
      </c>
      <c r="C56" s="14" t="s">
        <v>409</v>
      </c>
      <c r="D56" s="14" t="s">
        <v>412</v>
      </c>
      <c r="E56" s="4" t="s">
        <v>334</v>
      </c>
      <c r="F56" s="68"/>
      <c r="G56" s="69"/>
      <c r="H56" s="68"/>
      <c r="I56" s="69"/>
      <c r="J56" s="68"/>
      <c r="K56" s="69"/>
      <c r="L56" s="68">
        <v>1</v>
      </c>
      <c r="M56" s="69">
        <v>619</v>
      </c>
      <c r="N56" s="68"/>
      <c r="O56" s="69"/>
      <c r="P56" s="68"/>
      <c r="Q56" s="69"/>
      <c r="R56" s="68"/>
      <c r="S56" s="69"/>
      <c r="T56" s="68"/>
      <c r="U56" s="69"/>
      <c r="V56" s="68"/>
      <c r="W56" s="69"/>
      <c r="X56" s="68"/>
      <c r="Y56" s="69"/>
      <c r="Z56" s="68"/>
      <c r="AA56" s="69"/>
      <c r="AB56" s="68"/>
      <c r="AC56" s="69"/>
      <c r="AD56" s="68"/>
      <c r="AE56" s="69"/>
      <c r="AF56" s="68"/>
      <c r="AG56" s="69"/>
      <c r="AH56" s="68"/>
      <c r="AI56" s="69"/>
      <c r="AJ56" s="68"/>
      <c r="AK56" s="69"/>
    </row>
    <row r="57" spans="1:37" ht="14.4">
      <c r="A57" s="67" t="s">
        <v>330</v>
      </c>
      <c r="B57" s="14" t="s">
        <v>408</v>
      </c>
      <c r="C57" s="14" t="s">
        <v>409</v>
      </c>
      <c r="D57" s="14" t="s">
        <v>413</v>
      </c>
      <c r="E57" s="4" t="s">
        <v>334</v>
      </c>
      <c r="F57" s="68"/>
      <c r="G57" s="69"/>
      <c r="H57" s="68"/>
      <c r="I57" s="69"/>
      <c r="J57" s="68"/>
      <c r="K57" s="69"/>
      <c r="L57" s="68"/>
      <c r="M57" s="69"/>
      <c r="N57" s="68"/>
      <c r="O57" s="69"/>
      <c r="P57" s="68">
        <v>1</v>
      </c>
      <c r="Q57" s="69">
        <v>756</v>
      </c>
      <c r="R57" s="68"/>
      <c r="S57" s="69"/>
      <c r="T57" s="68"/>
      <c r="U57" s="69"/>
      <c r="V57" s="68"/>
      <c r="W57" s="69"/>
      <c r="X57" s="68"/>
      <c r="Y57" s="69"/>
      <c r="Z57" s="68"/>
      <c r="AA57" s="69"/>
      <c r="AB57" s="68">
        <v>2</v>
      </c>
      <c r="AC57" s="69">
        <v>2001</v>
      </c>
      <c r="AD57" s="68"/>
      <c r="AE57" s="69"/>
      <c r="AF57" s="68"/>
      <c r="AG57" s="69"/>
      <c r="AH57" s="68"/>
      <c r="AI57" s="69"/>
      <c r="AJ57" s="68"/>
      <c r="AK57" s="69"/>
    </row>
    <row r="58" spans="1:37" ht="14.4">
      <c r="A58" s="67" t="s">
        <v>330</v>
      </c>
      <c r="B58" s="14" t="s">
        <v>408</v>
      </c>
      <c r="C58" s="14" t="s">
        <v>414</v>
      </c>
      <c r="D58" s="14" t="s">
        <v>415</v>
      </c>
      <c r="E58" s="4" t="s">
        <v>339</v>
      </c>
      <c r="F58" s="68"/>
      <c r="G58" s="69"/>
      <c r="H58" s="68"/>
      <c r="I58" s="69"/>
      <c r="J58" s="68"/>
      <c r="K58" s="69"/>
      <c r="L58" s="68"/>
      <c r="M58" s="69"/>
      <c r="N58" s="68"/>
      <c r="O58" s="69"/>
      <c r="P58" s="68"/>
      <c r="Q58" s="69"/>
      <c r="R58" s="68"/>
      <c r="S58" s="69"/>
      <c r="T58" s="68"/>
      <c r="U58" s="69"/>
      <c r="V58" s="68"/>
      <c r="W58" s="69"/>
      <c r="X58" s="68"/>
      <c r="Y58" s="69"/>
      <c r="Z58" s="68"/>
      <c r="AA58" s="69"/>
      <c r="AB58" s="68"/>
      <c r="AC58" s="69"/>
      <c r="AD58" s="68">
        <v>1</v>
      </c>
      <c r="AE58" s="69">
        <v>133</v>
      </c>
      <c r="AF58" s="68"/>
      <c r="AG58" s="69"/>
      <c r="AH58" s="68"/>
      <c r="AI58" s="69"/>
      <c r="AJ58" s="68"/>
      <c r="AK58" s="69"/>
    </row>
    <row r="59" spans="1:37" ht="14.4">
      <c r="A59" s="67" t="s">
        <v>330</v>
      </c>
      <c r="B59" s="14" t="s">
        <v>416</v>
      </c>
      <c r="C59" s="14" t="s">
        <v>417</v>
      </c>
      <c r="D59" s="14" t="s">
        <v>418</v>
      </c>
      <c r="E59" s="4" t="s">
        <v>334</v>
      </c>
      <c r="F59" s="68"/>
      <c r="G59" s="69"/>
      <c r="H59" s="68">
        <v>2</v>
      </c>
      <c r="I59" s="69">
        <v>10402</v>
      </c>
      <c r="J59" s="68"/>
      <c r="K59" s="69"/>
      <c r="L59" s="68"/>
      <c r="M59" s="69"/>
      <c r="N59" s="68">
        <v>2</v>
      </c>
      <c r="O59" s="69">
        <v>1275</v>
      </c>
      <c r="P59" s="68">
        <v>2</v>
      </c>
      <c r="Q59" s="69">
        <v>3259</v>
      </c>
      <c r="R59" s="68"/>
      <c r="S59" s="69"/>
      <c r="T59" s="68"/>
      <c r="U59" s="69"/>
      <c r="V59" s="68"/>
      <c r="W59" s="69"/>
      <c r="X59" s="68"/>
      <c r="Y59" s="69"/>
      <c r="Z59" s="68">
        <v>1</v>
      </c>
      <c r="AA59" s="69">
        <v>8068</v>
      </c>
      <c r="AB59" s="68">
        <v>2</v>
      </c>
      <c r="AC59" s="69">
        <v>8658</v>
      </c>
      <c r="AD59" s="68"/>
      <c r="AE59" s="69"/>
      <c r="AF59" s="68"/>
      <c r="AG59" s="69"/>
      <c r="AH59" s="68"/>
      <c r="AI59" s="69"/>
      <c r="AJ59" s="68"/>
      <c r="AK59" s="69"/>
    </row>
    <row r="60" spans="1:37" ht="14.4">
      <c r="A60" s="67" t="s">
        <v>330</v>
      </c>
      <c r="B60" s="14" t="s">
        <v>416</v>
      </c>
      <c r="C60" s="14" t="s">
        <v>417</v>
      </c>
      <c r="D60" s="14" t="s">
        <v>419</v>
      </c>
      <c r="E60" s="4" t="s">
        <v>334</v>
      </c>
      <c r="F60" s="68">
        <v>11</v>
      </c>
      <c r="G60" s="69">
        <v>146804</v>
      </c>
      <c r="H60" s="68">
        <v>12</v>
      </c>
      <c r="I60" s="69">
        <v>260933</v>
      </c>
      <c r="J60" s="68">
        <v>12</v>
      </c>
      <c r="K60" s="69">
        <v>77050</v>
      </c>
      <c r="L60" s="68">
        <v>8</v>
      </c>
      <c r="M60" s="69">
        <v>25305</v>
      </c>
      <c r="N60" s="68">
        <v>12</v>
      </c>
      <c r="O60" s="69">
        <v>20397</v>
      </c>
      <c r="P60" s="68">
        <v>10</v>
      </c>
      <c r="Q60" s="69">
        <v>17485</v>
      </c>
      <c r="R60" s="68">
        <v>1</v>
      </c>
      <c r="S60" s="69">
        <v>32484</v>
      </c>
      <c r="T60" s="68">
        <v>2</v>
      </c>
      <c r="U60" s="69">
        <v>38128</v>
      </c>
      <c r="V60" s="68">
        <v>5</v>
      </c>
      <c r="W60" s="69">
        <v>31296</v>
      </c>
      <c r="X60" s="68">
        <v>2</v>
      </c>
      <c r="Y60" s="69">
        <v>14221</v>
      </c>
      <c r="Z60" s="68"/>
      <c r="AA60" s="69"/>
      <c r="AB60" s="68">
        <v>1</v>
      </c>
      <c r="AC60" s="69">
        <v>4640</v>
      </c>
      <c r="AD60" s="68">
        <v>3</v>
      </c>
      <c r="AE60" s="69">
        <v>8819</v>
      </c>
      <c r="AF60" s="68"/>
      <c r="AG60" s="69"/>
      <c r="AH60" s="68"/>
      <c r="AI60" s="69"/>
      <c r="AJ60" s="68"/>
      <c r="AK60" s="69"/>
    </row>
    <row r="61" spans="1:37" ht="14.4">
      <c r="A61" s="67" t="s">
        <v>330</v>
      </c>
      <c r="B61" s="14" t="s">
        <v>416</v>
      </c>
      <c r="C61" s="14" t="s">
        <v>420</v>
      </c>
      <c r="D61" s="14" t="s">
        <v>421</v>
      </c>
      <c r="E61" s="4" t="s">
        <v>334</v>
      </c>
      <c r="F61" s="68">
        <v>11</v>
      </c>
      <c r="G61" s="69">
        <v>85669</v>
      </c>
      <c r="H61" s="68">
        <v>12</v>
      </c>
      <c r="I61" s="69">
        <v>163161</v>
      </c>
      <c r="J61" s="68">
        <v>12</v>
      </c>
      <c r="K61" s="69">
        <v>266476</v>
      </c>
      <c r="L61" s="68">
        <v>12</v>
      </c>
      <c r="M61" s="69">
        <v>69940</v>
      </c>
      <c r="N61" s="68">
        <v>12</v>
      </c>
      <c r="O61" s="69">
        <v>98904</v>
      </c>
      <c r="P61" s="68">
        <v>12</v>
      </c>
      <c r="Q61" s="69">
        <v>75368</v>
      </c>
      <c r="R61" s="68">
        <v>6</v>
      </c>
      <c r="S61" s="69">
        <v>170701</v>
      </c>
      <c r="T61" s="68">
        <v>10</v>
      </c>
      <c r="U61" s="69">
        <v>177190</v>
      </c>
      <c r="V61" s="68">
        <v>11</v>
      </c>
      <c r="W61" s="69">
        <v>357716</v>
      </c>
      <c r="X61" s="68">
        <v>11</v>
      </c>
      <c r="Y61" s="69">
        <v>169078</v>
      </c>
      <c r="Z61" s="68"/>
      <c r="AA61" s="69"/>
      <c r="AB61" s="68">
        <v>2</v>
      </c>
      <c r="AC61" s="69">
        <v>1915</v>
      </c>
      <c r="AD61" s="68">
        <v>12</v>
      </c>
      <c r="AE61" s="69">
        <v>82398</v>
      </c>
      <c r="AF61" s="68"/>
      <c r="AG61" s="69"/>
      <c r="AH61" s="68">
        <v>1</v>
      </c>
      <c r="AI61" s="69">
        <v>29533</v>
      </c>
      <c r="AJ61" s="68"/>
      <c r="AK61" s="69"/>
    </row>
    <row r="62" spans="1:37" ht="14.4">
      <c r="A62" s="67" t="s">
        <v>330</v>
      </c>
      <c r="B62" s="14" t="s">
        <v>416</v>
      </c>
      <c r="C62" s="14" t="s">
        <v>420</v>
      </c>
      <c r="D62" s="14" t="s">
        <v>422</v>
      </c>
      <c r="E62" s="4" t="s">
        <v>334</v>
      </c>
      <c r="F62" s="68">
        <v>7</v>
      </c>
      <c r="G62" s="69">
        <v>3774</v>
      </c>
      <c r="H62" s="68">
        <v>3</v>
      </c>
      <c r="I62" s="69">
        <v>5121</v>
      </c>
      <c r="J62" s="68">
        <v>7</v>
      </c>
      <c r="K62" s="69">
        <v>10134</v>
      </c>
      <c r="L62" s="68">
        <v>4</v>
      </c>
      <c r="M62" s="69">
        <v>1828</v>
      </c>
      <c r="N62" s="68">
        <v>11</v>
      </c>
      <c r="O62" s="69">
        <v>10142</v>
      </c>
      <c r="P62" s="68">
        <v>12</v>
      </c>
      <c r="Q62" s="69">
        <v>14567</v>
      </c>
      <c r="R62" s="68"/>
      <c r="S62" s="69"/>
      <c r="T62" s="68">
        <v>2</v>
      </c>
      <c r="U62" s="69">
        <v>17882</v>
      </c>
      <c r="V62" s="68">
        <v>4</v>
      </c>
      <c r="W62" s="69">
        <v>9885</v>
      </c>
      <c r="X62" s="68">
        <v>1</v>
      </c>
      <c r="Y62" s="69">
        <v>6533</v>
      </c>
      <c r="Z62" s="68">
        <v>1</v>
      </c>
      <c r="AA62" s="69">
        <v>585</v>
      </c>
      <c r="AB62" s="68">
        <v>5</v>
      </c>
      <c r="AC62" s="69">
        <v>5747</v>
      </c>
      <c r="AD62" s="68">
        <v>9</v>
      </c>
      <c r="AE62" s="69">
        <v>30278</v>
      </c>
      <c r="AF62" s="68"/>
      <c r="AG62" s="69"/>
      <c r="AH62" s="68">
        <v>1</v>
      </c>
      <c r="AI62" s="69">
        <v>27638</v>
      </c>
      <c r="AJ62" s="68"/>
      <c r="AK62" s="69"/>
    </row>
    <row r="63" spans="1:37" ht="14.4">
      <c r="A63" s="67" t="s">
        <v>330</v>
      </c>
      <c r="B63" s="14" t="s">
        <v>416</v>
      </c>
      <c r="C63" s="14" t="s">
        <v>420</v>
      </c>
      <c r="D63" s="14" t="s">
        <v>423</v>
      </c>
      <c r="E63" s="4" t="s">
        <v>334</v>
      </c>
      <c r="F63" s="68">
        <v>4</v>
      </c>
      <c r="G63" s="69">
        <v>949</v>
      </c>
      <c r="H63" s="68">
        <v>3</v>
      </c>
      <c r="I63" s="69">
        <v>6995</v>
      </c>
      <c r="J63" s="68">
        <v>6</v>
      </c>
      <c r="K63" s="69">
        <v>3448</v>
      </c>
      <c r="L63" s="68">
        <v>2</v>
      </c>
      <c r="M63" s="69">
        <v>2300</v>
      </c>
      <c r="N63" s="68"/>
      <c r="O63" s="69"/>
      <c r="P63" s="68"/>
      <c r="Q63" s="69"/>
      <c r="R63" s="68"/>
      <c r="S63" s="69"/>
      <c r="T63" s="68"/>
      <c r="U63" s="69"/>
      <c r="V63" s="68"/>
      <c r="W63" s="69"/>
      <c r="X63" s="68"/>
      <c r="Y63" s="69"/>
      <c r="Z63" s="68"/>
      <c r="AA63" s="69"/>
      <c r="AB63" s="68"/>
      <c r="AC63" s="69"/>
      <c r="AD63" s="68"/>
      <c r="AE63" s="69"/>
      <c r="AF63" s="68"/>
      <c r="AG63" s="69"/>
      <c r="AH63" s="68"/>
      <c r="AI63" s="69"/>
      <c r="AJ63" s="68"/>
      <c r="AK63" s="69"/>
    </row>
    <row r="64" spans="1:37" ht="14.4">
      <c r="A64" s="67" t="s">
        <v>330</v>
      </c>
      <c r="B64" s="14" t="s">
        <v>416</v>
      </c>
      <c r="C64" s="14" t="s">
        <v>420</v>
      </c>
      <c r="D64" s="14" t="s">
        <v>424</v>
      </c>
      <c r="E64" s="4" t="s">
        <v>334</v>
      </c>
      <c r="F64" s="68"/>
      <c r="G64" s="69"/>
      <c r="H64" s="68"/>
      <c r="I64" s="69"/>
      <c r="J64" s="68">
        <v>1</v>
      </c>
      <c r="K64" s="69">
        <v>408</v>
      </c>
      <c r="L64" s="68">
        <v>1</v>
      </c>
      <c r="M64" s="69">
        <v>1800</v>
      </c>
      <c r="N64" s="68">
        <v>7</v>
      </c>
      <c r="O64" s="69">
        <v>4877</v>
      </c>
      <c r="P64" s="68">
        <v>9</v>
      </c>
      <c r="Q64" s="69">
        <v>5036</v>
      </c>
      <c r="R64" s="68"/>
      <c r="S64" s="69"/>
      <c r="T64" s="68"/>
      <c r="U64" s="69"/>
      <c r="V64" s="68"/>
      <c r="W64" s="69"/>
      <c r="X64" s="68">
        <v>1</v>
      </c>
      <c r="Y64" s="69">
        <v>5110</v>
      </c>
      <c r="Z64" s="68"/>
      <c r="AA64" s="69"/>
      <c r="AB64" s="68"/>
      <c r="AC64" s="69"/>
      <c r="AD64" s="68">
        <v>9</v>
      </c>
      <c r="AE64" s="69">
        <v>37310</v>
      </c>
      <c r="AF64" s="68"/>
      <c r="AG64" s="69"/>
      <c r="AH64" s="68"/>
      <c r="AI64" s="69"/>
      <c r="AJ64" s="68"/>
      <c r="AK64" s="69"/>
    </row>
    <row r="65" spans="1:37" ht="14.4">
      <c r="A65" s="67" t="s">
        <v>330</v>
      </c>
      <c r="B65" s="14" t="s">
        <v>416</v>
      </c>
      <c r="C65" s="14" t="s">
        <v>420</v>
      </c>
      <c r="D65" s="14" t="s">
        <v>425</v>
      </c>
      <c r="E65" s="4" t="s">
        <v>334</v>
      </c>
      <c r="F65" s="68">
        <v>11</v>
      </c>
      <c r="G65" s="69">
        <v>7006</v>
      </c>
      <c r="H65" s="68">
        <v>3</v>
      </c>
      <c r="I65" s="69">
        <v>5013</v>
      </c>
      <c r="J65" s="68">
        <v>1</v>
      </c>
      <c r="K65" s="69">
        <v>789</v>
      </c>
      <c r="L65" s="68">
        <v>1</v>
      </c>
      <c r="M65" s="69">
        <v>2359</v>
      </c>
      <c r="N65" s="68">
        <v>5</v>
      </c>
      <c r="O65" s="69">
        <v>1863</v>
      </c>
      <c r="P65" s="68">
        <v>5</v>
      </c>
      <c r="Q65" s="69">
        <v>1863</v>
      </c>
      <c r="R65" s="68"/>
      <c r="S65" s="69"/>
      <c r="T65" s="68"/>
      <c r="U65" s="69"/>
      <c r="V65" s="68">
        <v>3</v>
      </c>
      <c r="W65" s="69">
        <v>7555</v>
      </c>
      <c r="X65" s="68"/>
      <c r="Y65" s="69"/>
      <c r="Z65" s="68">
        <v>1</v>
      </c>
      <c r="AA65" s="69">
        <v>467</v>
      </c>
      <c r="AB65" s="68">
        <v>4</v>
      </c>
      <c r="AC65" s="69">
        <v>11859</v>
      </c>
      <c r="AD65" s="68"/>
      <c r="AE65" s="69"/>
      <c r="AF65" s="68"/>
      <c r="AG65" s="69"/>
      <c r="AH65" s="68"/>
      <c r="AI65" s="69"/>
      <c r="AJ65" s="68"/>
      <c r="AK65" s="69"/>
    </row>
    <row r="66" spans="1:37" ht="14.4">
      <c r="A66" s="67" t="s">
        <v>330</v>
      </c>
      <c r="B66" s="14" t="s">
        <v>416</v>
      </c>
      <c r="C66" s="14" t="s">
        <v>420</v>
      </c>
      <c r="D66" s="14" t="s">
        <v>426</v>
      </c>
      <c r="E66" s="4" t="s">
        <v>334</v>
      </c>
      <c r="F66" s="68">
        <v>5</v>
      </c>
      <c r="G66" s="69">
        <v>815</v>
      </c>
      <c r="H66" s="68">
        <v>4</v>
      </c>
      <c r="I66" s="69">
        <v>7178</v>
      </c>
      <c r="J66" s="68"/>
      <c r="K66" s="69"/>
      <c r="L66" s="68"/>
      <c r="M66" s="69"/>
      <c r="N66" s="68"/>
      <c r="O66" s="69"/>
      <c r="P66" s="68"/>
      <c r="Q66" s="69"/>
      <c r="R66" s="68"/>
      <c r="S66" s="69"/>
      <c r="T66" s="68"/>
      <c r="U66" s="69"/>
      <c r="V66" s="68"/>
      <c r="W66" s="69"/>
      <c r="X66" s="68"/>
      <c r="Y66" s="69"/>
      <c r="Z66" s="68"/>
      <c r="AA66" s="69"/>
      <c r="AB66" s="68"/>
      <c r="AC66" s="69"/>
      <c r="AD66" s="68"/>
      <c r="AE66" s="69"/>
      <c r="AF66" s="68"/>
      <c r="AG66" s="69"/>
      <c r="AH66" s="68"/>
      <c r="AI66" s="69"/>
      <c r="AJ66" s="68"/>
      <c r="AK66" s="69"/>
    </row>
    <row r="67" spans="1:37" ht="14.4">
      <c r="A67" s="67" t="s">
        <v>330</v>
      </c>
      <c r="B67" s="14" t="s">
        <v>416</v>
      </c>
      <c r="C67" s="14" t="s">
        <v>420</v>
      </c>
      <c r="D67" s="14" t="s">
        <v>427</v>
      </c>
      <c r="E67" s="4" t="s">
        <v>334</v>
      </c>
      <c r="F67" s="68">
        <v>9</v>
      </c>
      <c r="G67" s="69">
        <v>5356</v>
      </c>
      <c r="H67" s="68">
        <v>4</v>
      </c>
      <c r="I67" s="69">
        <v>3468</v>
      </c>
      <c r="J67" s="68">
        <v>10</v>
      </c>
      <c r="K67" s="69">
        <v>17367</v>
      </c>
      <c r="L67" s="68">
        <v>8</v>
      </c>
      <c r="M67" s="69">
        <v>6174</v>
      </c>
      <c r="N67" s="68"/>
      <c r="O67" s="69"/>
      <c r="P67" s="68"/>
      <c r="Q67" s="69"/>
      <c r="R67" s="68"/>
      <c r="S67" s="69"/>
      <c r="T67" s="68">
        <v>1</v>
      </c>
      <c r="U67" s="69">
        <v>11</v>
      </c>
      <c r="V67" s="68"/>
      <c r="W67" s="69"/>
      <c r="X67" s="68"/>
      <c r="Y67" s="69"/>
      <c r="Z67" s="68"/>
      <c r="AA67" s="69"/>
      <c r="AB67" s="68"/>
      <c r="AC67" s="69"/>
      <c r="AD67" s="68">
        <v>1</v>
      </c>
      <c r="AE67" s="69">
        <v>486</v>
      </c>
      <c r="AF67" s="68"/>
      <c r="AG67" s="69"/>
      <c r="AH67" s="68"/>
      <c r="AI67" s="69"/>
      <c r="AJ67" s="68"/>
      <c r="AK67" s="69"/>
    </row>
    <row r="68" spans="1:37" ht="14.4">
      <c r="A68" s="67" t="s">
        <v>330</v>
      </c>
      <c r="B68" s="14" t="s">
        <v>416</v>
      </c>
      <c r="C68" s="14" t="s">
        <v>420</v>
      </c>
      <c r="D68" s="14" t="s">
        <v>428</v>
      </c>
      <c r="E68" s="4" t="s">
        <v>334</v>
      </c>
      <c r="F68" s="68"/>
      <c r="G68" s="69"/>
      <c r="H68" s="68"/>
      <c r="I68" s="69"/>
      <c r="J68" s="68"/>
      <c r="K68" s="69"/>
      <c r="L68" s="68"/>
      <c r="M68" s="69"/>
      <c r="N68" s="68"/>
      <c r="O68" s="69"/>
      <c r="P68" s="68"/>
      <c r="Q68" s="69"/>
      <c r="R68" s="68"/>
      <c r="S68" s="69"/>
      <c r="T68" s="68"/>
      <c r="U68" s="69"/>
      <c r="V68" s="68"/>
      <c r="W68" s="69"/>
      <c r="X68" s="68">
        <v>1</v>
      </c>
      <c r="Y68" s="69">
        <v>4280</v>
      </c>
      <c r="Z68" s="68"/>
      <c r="AA68" s="69"/>
      <c r="AB68" s="68"/>
      <c r="AC68" s="69"/>
      <c r="AD68" s="68"/>
      <c r="AE68" s="69"/>
      <c r="AF68" s="68"/>
      <c r="AG68" s="69"/>
      <c r="AH68" s="68"/>
      <c r="AI68" s="69"/>
      <c r="AJ68" s="68"/>
      <c r="AK68" s="69"/>
    </row>
    <row r="69" spans="1:37" ht="14.4">
      <c r="A69" s="67" t="s">
        <v>330</v>
      </c>
      <c r="B69" s="14" t="s">
        <v>416</v>
      </c>
      <c r="C69" s="14" t="s">
        <v>420</v>
      </c>
      <c r="D69" s="14" t="s">
        <v>429</v>
      </c>
      <c r="E69" s="4" t="s">
        <v>334</v>
      </c>
      <c r="F69" s="68">
        <v>10</v>
      </c>
      <c r="G69" s="69">
        <v>10626</v>
      </c>
      <c r="H69" s="68">
        <v>5</v>
      </c>
      <c r="I69" s="69">
        <v>10525</v>
      </c>
      <c r="J69" s="68">
        <v>10</v>
      </c>
      <c r="K69" s="69">
        <v>31393</v>
      </c>
      <c r="L69" s="68">
        <v>9</v>
      </c>
      <c r="M69" s="69">
        <v>8046</v>
      </c>
      <c r="N69" s="68">
        <v>9</v>
      </c>
      <c r="O69" s="69">
        <v>5729</v>
      </c>
      <c r="P69" s="68">
        <v>6</v>
      </c>
      <c r="Q69" s="69">
        <v>4101</v>
      </c>
      <c r="R69" s="68"/>
      <c r="S69" s="69"/>
      <c r="T69" s="68">
        <v>3</v>
      </c>
      <c r="U69" s="69">
        <v>9333</v>
      </c>
      <c r="V69" s="68"/>
      <c r="W69" s="69"/>
      <c r="X69" s="68"/>
      <c r="Y69" s="69"/>
      <c r="Z69" s="68">
        <v>1</v>
      </c>
      <c r="AA69" s="69">
        <v>546</v>
      </c>
      <c r="AB69" s="68"/>
      <c r="AC69" s="69"/>
      <c r="AD69" s="68">
        <v>1</v>
      </c>
      <c r="AE69" s="69">
        <v>1462</v>
      </c>
      <c r="AF69" s="68"/>
      <c r="AG69" s="69"/>
      <c r="AH69" s="68">
        <v>1</v>
      </c>
      <c r="AI69" s="69">
        <v>35044</v>
      </c>
      <c r="AJ69" s="68"/>
      <c r="AK69" s="69"/>
    </row>
    <row r="70" spans="1:37" ht="14.4">
      <c r="A70" s="67" t="s">
        <v>330</v>
      </c>
      <c r="B70" s="14" t="s">
        <v>416</v>
      </c>
      <c r="C70" s="14" t="s">
        <v>420</v>
      </c>
      <c r="D70" s="14" t="s">
        <v>430</v>
      </c>
      <c r="E70" s="4" t="s">
        <v>334</v>
      </c>
      <c r="F70" s="68">
        <v>1</v>
      </c>
      <c r="G70" s="69">
        <v>395</v>
      </c>
      <c r="H70" s="68"/>
      <c r="I70" s="69"/>
      <c r="J70" s="68"/>
      <c r="K70" s="69"/>
      <c r="L70" s="68"/>
      <c r="M70" s="69"/>
      <c r="N70" s="68"/>
      <c r="O70" s="69"/>
      <c r="P70" s="68"/>
      <c r="Q70" s="69"/>
      <c r="R70" s="68"/>
      <c r="S70" s="69"/>
      <c r="T70" s="68"/>
      <c r="U70" s="69"/>
      <c r="V70" s="68"/>
      <c r="W70" s="69"/>
      <c r="X70" s="68">
        <v>1</v>
      </c>
      <c r="Y70" s="69">
        <v>1079</v>
      </c>
      <c r="Z70" s="68"/>
      <c r="AA70" s="69"/>
      <c r="AB70" s="68"/>
      <c r="AC70" s="69"/>
      <c r="AD70" s="68"/>
      <c r="AE70" s="69"/>
      <c r="AF70" s="68"/>
      <c r="AG70" s="69"/>
      <c r="AH70" s="68"/>
      <c r="AI70" s="69"/>
      <c r="AJ70" s="68"/>
      <c r="AK70" s="69"/>
    </row>
    <row r="71" spans="1:37" ht="14.4">
      <c r="A71" s="67" t="s">
        <v>330</v>
      </c>
      <c r="B71" s="14" t="s">
        <v>416</v>
      </c>
      <c r="C71" s="14" t="s">
        <v>420</v>
      </c>
      <c r="D71" s="14" t="s">
        <v>431</v>
      </c>
      <c r="E71" s="4" t="s">
        <v>334</v>
      </c>
      <c r="F71" s="68">
        <v>7</v>
      </c>
      <c r="G71" s="69">
        <v>2938</v>
      </c>
      <c r="H71" s="68">
        <v>2</v>
      </c>
      <c r="I71" s="69">
        <v>7043</v>
      </c>
      <c r="J71" s="68">
        <v>5</v>
      </c>
      <c r="K71" s="69">
        <v>2167</v>
      </c>
      <c r="L71" s="68">
        <v>2</v>
      </c>
      <c r="M71" s="69">
        <v>1390</v>
      </c>
      <c r="N71" s="68">
        <v>12</v>
      </c>
      <c r="O71" s="69">
        <v>104782</v>
      </c>
      <c r="P71" s="68">
        <v>12</v>
      </c>
      <c r="Q71" s="69">
        <v>58731</v>
      </c>
      <c r="R71" s="68">
        <v>1</v>
      </c>
      <c r="S71" s="69">
        <v>72802</v>
      </c>
      <c r="T71" s="68">
        <v>9</v>
      </c>
      <c r="U71" s="69">
        <v>81644</v>
      </c>
      <c r="V71" s="68">
        <v>4</v>
      </c>
      <c r="W71" s="69">
        <v>22074</v>
      </c>
      <c r="X71" s="68">
        <v>5</v>
      </c>
      <c r="Y71" s="69">
        <v>40327</v>
      </c>
      <c r="Z71" s="68">
        <v>12</v>
      </c>
      <c r="AA71" s="69">
        <v>58854</v>
      </c>
      <c r="AB71" s="68">
        <v>12</v>
      </c>
      <c r="AC71" s="69">
        <v>100218</v>
      </c>
      <c r="AD71" s="68">
        <v>11</v>
      </c>
      <c r="AE71" s="69">
        <v>110033</v>
      </c>
      <c r="AF71" s="68"/>
      <c r="AG71" s="69"/>
      <c r="AH71" s="68"/>
      <c r="AI71" s="69"/>
      <c r="AJ71" s="68"/>
      <c r="AK71" s="69"/>
    </row>
    <row r="72" spans="1:37" ht="14.4">
      <c r="A72" s="67" t="s">
        <v>330</v>
      </c>
      <c r="B72" s="14" t="s">
        <v>432</v>
      </c>
      <c r="C72" s="14" t="s">
        <v>433</v>
      </c>
      <c r="D72" s="14" t="s">
        <v>434</v>
      </c>
      <c r="E72" s="4" t="s">
        <v>334</v>
      </c>
      <c r="F72" s="68">
        <v>1</v>
      </c>
      <c r="G72" s="69">
        <v>261</v>
      </c>
      <c r="H72" s="68">
        <v>1</v>
      </c>
      <c r="I72" s="69">
        <v>2670</v>
      </c>
      <c r="J72" s="68"/>
      <c r="K72" s="69"/>
      <c r="L72" s="68"/>
      <c r="M72" s="69"/>
      <c r="N72" s="68">
        <v>12</v>
      </c>
      <c r="O72" s="69">
        <v>2092</v>
      </c>
      <c r="P72" s="68">
        <v>9</v>
      </c>
      <c r="Q72" s="69">
        <v>3044</v>
      </c>
      <c r="R72" s="68"/>
      <c r="S72" s="69"/>
      <c r="T72" s="68">
        <v>3</v>
      </c>
      <c r="U72" s="69">
        <v>3822</v>
      </c>
      <c r="V72" s="68"/>
      <c r="W72" s="69"/>
      <c r="X72" s="68">
        <v>3</v>
      </c>
      <c r="Y72" s="69">
        <v>2869</v>
      </c>
      <c r="Z72" s="68"/>
      <c r="AA72" s="69"/>
      <c r="AB72" s="68">
        <v>1</v>
      </c>
      <c r="AC72" s="69">
        <v>1778</v>
      </c>
      <c r="AD72" s="68">
        <v>7</v>
      </c>
      <c r="AE72" s="69">
        <v>6195</v>
      </c>
      <c r="AF72" s="68"/>
      <c r="AG72" s="69"/>
      <c r="AH72" s="68"/>
      <c r="AI72" s="69"/>
      <c r="AJ72" s="68">
        <v>3</v>
      </c>
      <c r="AK72" s="69">
        <v>66459</v>
      </c>
    </row>
    <row r="73" spans="1:37" ht="14.4">
      <c r="A73" s="67" t="s">
        <v>330</v>
      </c>
      <c r="B73" s="14" t="s">
        <v>435</v>
      </c>
      <c r="C73" s="14" t="s">
        <v>436</v>
      </c>
      <c r="D73" s="14" t="s">
        <v>437</v>
      </c>
      <c r="E73" s="4" t="s">
        <v>334</v>
      </c>
      <c r="F73" s="68">
        <v>11</v>
      </c>
      <c r="G73" s="69">
        <v>7108</v>
      </c>
      <c r="H73" s="68">
        <v>10</v>
      </c>
      <c r="I73" s="69">
        <v>14105</v>
      </c>
      <c r="J73" s="68">
        <v>5</v>
      </c>
      <c r="K73" s="69">
        <v>2023</v>
      </c>
      <c r="L73" s="68">
        <v>2</v>
      </c>
      <c r="M73" s="69">
        <v>264</v>
      </c>
      <c r="N73" s="68">
        <v>6</v>
      </c>
      <c r="O73" s="69">
        <v>571</v>
      </c>
      <c r="P73" s="68">
        <v>2</v>
      </c>
      <c r="Q73" s="69">
        <v>442</v>
      </c>
      <c r="R73" s="68"/>
      <c r="S73" s="69"/>
      <c r="T73" s="68"/>
      <c r="U73" s="69"/>
      <c r="V73" s="68">
        <v>1</v>
      </c>
      <c r="W73" s="69">
        <v>1256</v>
      </c>
      <c r="X73" s="68"/>
      <c r="Y73" s="69"/>
      <c r="Z73" s="68"/>
      <c r="AA73" s="69"/>
      <c r="AB73" s="68"/>
      <c r="AC73" s="69"/>
      <c r="AD73" s="68"/>
      <c r="AE73" s="69"/>
      <c r="AF73" s="68"/>
      <c r="AG73" s="69"/>
      <c r="AH73" s="68"/>
      <c r="AI73" s="69"/>
      <c r="AJ73" s="68">
        <v>1</v>
      </c>
      <c r="AK73" s="69">
        <v>392</v>
      </c>
    </row>
    <row r="74" spans="1:37" ht="14.4">
      <c r="A74" s="67" t="s">
        <v>330</v>
      </c>
      <c r="B74" s="14" t="s">
        <v>435</v>
      </c>
      <c r="C74" s="14" t="s">
        <v>438</v>
      </c>
      <c r="D74" s="14" t="s">
        <v>439</v>
      </c>
      <c r="E74" s="4" t="s">
        <v>334</v>
      </c>
      <c r="F74" s="68">
        <v>1</v>
      </c>
      <c r="G74" s="69">
        <v>132</v>
      </c>
      <c r="H74" s="68">
        <v>1</v>
      </c>
      <c r="I74" s="69">
        <v>137</v>
      </c>
      <c r="J74" s="68"/>
      <c r="K74" s="69"/>
      <c r="L74" s="68"/>
      <c r="M74" s="69"/>
      <c r="N74" s="68"/>
      <c r="O74" s="69"/>
      <c r="P74" s="68">
        <v>1</v>
      </c>
      <c r="Q74" s="69">
        <v>256</v>
      </c>
      <c r="R74" s="68"/>
      <c r="S74" s="69"/>
      <c r="T74" s="68"/>
      <c r="U74" s="69"/>
      <c r="V74" s="68"/>
      <c r="W74" s="69"/>
      <c r="X74" s="68"/>
      <c r="Y74" s="69"/>
      <c r="Z74" s="68"/>
      <c r="AA74" s="69"/>
      <c r="AB74" s="68"/>
      <c r="AC74" s="69"/>
      <c r="AD74" s="68"/>
      <c r="AE74" s="69"/>
      <c r="AF74" s="68"/>
      <c r="AG74" s="69"/>
      <c r="AH74" s="68"/>
      <c r="AI74" s="69"/>
      <c r="AJ74" s="68"/>
      <c r="AK74" s="69"/>
    </row>
    <row r="75" spans="1:37" ht="14.4">
      <c r="A75" s="67" t="s">
        <v>330</v>
      </c>
      <c r="B75" s="14" t="s">
        <v>440</v>
      </c>
      <c r="C75" s="14" t="s">
        <v>441</v>
      </c>
      <c r="D75" s="14" t="s">
        <v>442</v>
      </c>
      <c r="E75" s="4" t="s">
        <v>334</v>
      </c>
      <c r="F75" s="68"/>
      <c r="G75" s="69"/>
      <c r="H75" s="68"/>
      <c r="I75" s="69"/>
      <c r="J75" s="68">
        <v>2</v>
      </c>
      <c r="K75" s="69">
        <v>1793</v>
      </c>
      <c r="L75" s="68">
        <v>1</v>
      </c>
      <c r="M75" s="69">
        <v>180</v>
      </c>
      <c r="N75" s="68"/>
      <c r="O75" s="69"/>
      <c r="P75" s="68"/>
      <c r="Q75" s="69"/>
      <c r="R75" s="68"/>
      <c r="S75" s="69"/>
      <c r="T75" s="68"/>
      <c r="U75" s="69"/>
      <c r="V75" s="68"/>
      <c r="W75" s="69"/>
      <c r="X75" s="68"/>
      <c r="Y75" s="69"/>
      <c r="Z75" s="68"/>
      <c r="AA75" s="69"/>
      <c r="AB75" s="68"/>
      <c r="AC75" s="69"/>
      <c r="AD75" s="68"/>
      <c r="AE75" s="69"/>
      <c r="AF75" s="68"/>
      <c r="AG75" s="69"/>
      <c r="AH75" s="68"/>
      <c r="AI75" s="69"/>
      <c r="AJ75" s="68"/>
      <c r="AK75" s="69"/>
    </row>
    <row r="76" spans="1:37" ht="14.4">
      <c r="A76" s="67" t="s">
        <v>330</v>
      </c>
      <c r="B76" s="14" t="s">
        <v>443</v>
      </c>
      <c r="C76" s="14" t="s">
        <v>444</v>
      </c>
      <c r="D76" s="14" t="s">
        <v>445</v>
      </c>
      <c r="E76" s="4" t="s">
        <v>334</v>
      </c>
      <c r="F76" s="68"/>
      <c r="G76" s="69"/>
      <c r="H76" s="68">
        <v>1</v>
      </c>
      <c r="I76" s="69">
        <v>2254</v>
      </c>
      <c r="J76" s="68">
        <v>1</v>
      </c>
      <c r="K76" s="69">
        <v>725</v>
      </c>
      <c r="L76" s="68"/>
      <c r="M76" s="69"/>
      <c r="N76" s="68"/>
      <c r="O76" s="69"/>
      <c r="P76" s="68"/>
      <c r="Q76" s="69"/>
      <c r="R76" s="68"/>
      <c r="S76" s="69"/>
      <c r="T76" s="68"/>
      <c r="U76" s="69"/>
      <c r="V76" s="68"/>
      <c r="W76" s="69"/>
      <c r="X76" s="68"/>
      <c r="Y76" s="69"/>
      <c r="Z76" s="68"/>
      <c r="AA76" s="69"/>
      <c r="AB76" s="68"/>
      <c r="AC76" s="69"/>
      <c r="AD76" s="68"/>
      <c r="AE76" s="69"/>
      <c r="AF76" s="68"/>
      <c r="AG76" s="69"/>
      <c r="AH76" s="68"/>
      <c r="AI76" s="69"/>
      <c r="AJ76" s="68"/>
      <c r="AK76" s="69"/>
    </row>
    <row r="77" spans="1:37" ht="14.4">
      <c r="A77" s="67" t="s">
        <v>330</v>
      </c>
      <c r="B77" s="14" t="s">
        <v>446</v>
      </c>
      <c r="C77" s="14" t="s">
        <v>447</v>
      </c>
      <c r="D77" s="14" t="s">
        <v>448</v>
      </c>
      <c r="E77" s="4" t="s">
        <v>334</v>
      </c>
      <c r="F77" s="68">
        <v>3</v>
      </c>
      <c r="G77" s="69">
        <v>163</v>
      </c>
      <c r="H77" s="68">
        <v>1</v>
      </c>
      <c r="I77" s="69">
        <v>938</v>
      </c>
      <c r="J77" s="68"/>
      <c r="K77" s="69"/>
      <c r="L77" s="68"/>
      <c r="M77" s="69"/>
      <c r="N77" s="68"/>
      <c r="O77" s="69"/>
      <c r="P77" s="68"/>
      <c r="Q77" s="69"/>
      <c r="R77" s="68"/>
      <c r="S77" s="69"/>
      <c r="T77" s="68"/>
      <c r="U77" s="69"/>
      <c r="V77" s="68"/>
      <c r="W77" s="69"/>
      <c r="X77" s="68"/>
      <c r="Y77" s="69"/>
      <c r="Z77" s="68"/>
      <c r="AA77" s="69"/>
      <c r="AB77" s="68"/>
      <c r="AC77" s="69"/>
      <c r="AD77" s="68"/>
      <c r="AE77" s="69"/>
      <c r="AF77" s="68"/>
      <c r="AG77" s="69"/>
      <c r="AH77" s="68"/>
      <c r="AI77" s="69"/>
      <c r="AJ77" s="68"/>
      <c r="AK77" s="69"/>
    </row>
    <row r="78" spans="1:37" ht="14.4">
      <c r="A78" s="67" t="s">
        <v>330</v>
      </c>
      <c r="B78" s="14" t="s">
        <v>449</v>
      </c>
      <c r="C78" s="14" t="s">
        <v>450</v>
      </c>
      <c r="D78" s="14" t="s">
        <v>451</v>
      </c>
      <c r="E78" s="4" t="s">
        <v>334</v>
      </c>
      <c r="F78" s="68"/>
      <c r="G78" s="69"/>
      <c r="H78" s="68"/>
      <c r="I78" s="69"/>
      <c r="J78" s="68">
        <v>1</v>
      </c>
      <c r="K78" s="69">
        <v>390</v>
      </c>
      <c r="L78" s="68">
        <v>3</v>
      </c>
      <c r="M78" s="69">
        <v>4532</v>
      </c>
      <c r="N78" s="68">
        <v>12</v>
      </c>
      <c r="O78" s="69">
        <v>20200</v>
      </c>
      <c r="P78" s="68">
        <v>12</v>
      </c>
      <c r="Q78" s="69">
        <v>18042</v>
      </c>
      <c r="R78" s="68"/>
      <c r="S78" s="69"/>
      <c r="T78" s="68"/>
      <c r="U78" s="69"/>
      <c r="V78" s="68">
        <v>1</v>
      </c>
      <c r="W78" s="69">
        <v>2401</v>
      </c>
      <c r="X78" s="68">
        <v>1</v>
      </c>
      <c r="Y78" s="69">
        <v>2332</v>
      </c>
      <c r="Z78" s="68"/>
      <c r="AA78" s="69"/>
      <c r="AB78" s="68"/>
      <c r="AC78" s="69"/>
      <c r="AD78" s="68"/>
      <c r="AE78" s="69"/>
      <c r="AF78" s="68"/>
      <c r="AG78" s="69"/>
      <c r="AH78" s="68"/>
      <c r="AI78" s="69"/>
      <c r="AJ78" s="68">
        <v>1</v>
      </c>
      <c r="AK78" s="69">
        <v>13432</v>
      </c>
    </row>
    <row r="79" spans="1:37" ht="14.4">
      <c r="A79" s="67" t="s">
        <v>330</v>
      </c>
      <c r="B79" s="14" t="s">
        <v>449</v>
      </c>
      <c r="C79" s="14" t="s">
        <v>452</v>
      </c>
      <c r="D79" s="14" t="s">
        <v>453</v>
      </c>
      <c r="E79" s="4" t="s">
        <v>334</v>
      </c>
      <c r="F79" s="68"/>
      <c r="G79" s="69"/>
      <c r="H79" s="68"/>
      <c r="I79" s="69"/>
      <c r="J79" s="68"/>
      <c r="K79" s="69"/>
      <c r="L79" s="68"/>
      <c r="M79" s="69"/>
      <c r="N79" s="68">
        <v>2</v>
      </c>
      <c r="O79" s="69">
        <v>1246</v>
      </c>
      <c r="P79" s="68">
        <v>2</v>
      </c>
      <c r="Q79" s="69">
        <v>841</v>
      </c>
      <c r="R79" s="68"/>
      <c r="S79" s="69"/>
      <c r="T79" s="68"/>
      <c r="U79" s="69"/>
      <c r="V79" s="68"/>
      <c r="W79" s="69"/>
      <c r="X79" s="68"/>
      <c r="Y79" s="69"/>
      <c r="Z79" s="68"/>
      <c r="AA79" s="69"/>
      <c r="AB79" s="68"/>
      <c r="AC79" s="69"/>
      <c r="AD79" s="68"/>
      <c r="AE79" s="69"/>
      <c r="AF79" s="68"/>
      <c r="AG79" s="69"/>
      <c r="AH79" s="68"/>
      <c r="AI79" s="69"/>
      <c r="AJ79" s="68"/>
      <c r="AK79" s="69"/>
    </row>
    <row r="80" spans="1:37" ht="14.4">
      <c r="A80" s="67" t="s">
        <v>330</v>
      </c>
      <c r="B80" s="14" t="s">
        <v>449</v>
      </c>
      <c r="C80" s="14" t="s">
        <v>454</v>
      </c>
      <c r="D80" s="14" t="s">
        <v>455</v>
      </c>
      <c r="E80" s="4" t="s">
        <v>334</v>
      </c>
      <c r="F80" s="68">
        <v>1</v>
      </c>
      <c r="G80" s="69">
        <v>20</v>
      </c>
      <c r="H80" s="68">
        <v>1</v>
      </c>
      <c r="I80" s="69">
        <v>116</v>
      </c>
      <c r="J80" s="68"/>
      <c r="K80" s="69"/>
      <c r="L80" s="68"/>
      <c r="M80" s="69"/>
      <c r="N80" s="68"/>
      <c r="O80" s="69"/>
      <c r="P80" s="68"/>
      <c r="Q80" s="69"/>
      <c r="R80" s="68"/>
      <c r="S80" s="69"/>
      <c r="T80" s="68"/>
      <c r="U80" s="69"/>
      <c r="V80" s="68"/>
      <c r="W80" s="69"/>
      <c r="X80" s="68"/>
      <c r="Y80" s="69"/>
      <c r="Z80" s="68"/>
      <c r="AA80" s="69"/>
      <c r="AB80" s="68"/>
      <c r="AC80" s="69"/>
      <c r="AD80" s="68"/>
      <c r="AE80" s="69"/>
      <c r="AF80" s="68"/>
      <c r="AG80" s="69"/>
      <c r="AH80" s="68"/>
      <c r="AI80" s="69"/>
      <c r="AJ80" s="68"/>
      <c r="AK80" s="69"/>
    </row>
    <row r="81" spans="1:37" ht="14.4">
      <c r="A81" s="67" t="s">
        <v>456</v>
      </c>
      <c r="B81" s="14" t="s">
        <v>457</v>
      </c>
      <c r="C81" s="14" t="s">
        <v>458</v>
      </c>
      <c r="D81" s="14" t="s">
        <v>156</v>
      </c>
      <c r="E81" s="4" t="s">
        <v>334</v>
      </c>
      <c r="F81" s="68">
        <v>5</v>
      </c>
      <c r="G81" s="69">
        <v>800</v>
      </c>
      <c r="H81" s="68"/>
      <c r="I81" s="69"/>
      <c r="J81" s="68">
        <v>2</v>
      </c>
      <c r="K81" s="69">
        <v>399</v>
      </c>
      <c r="L81" s="68">
        <v>2</v>
      </c>
      <c r="M81" s="69">
        <v>198</v>
      </c>
      <c r="N81" s="68"/>
      <c r="O81" s="69"/>
      <c r="P81" s="68"/>
      <c r="Q81" s="69"/>
      <c r="R81" s="68"/>
      <c r="S81" s="69"/>
      <c r="T81" s="68"/>
      <c r="U81" s="69"/>
      <c r="V81" s="68"/>
      <c r="W81" s="69"/>
      <c r="X81" s="68"/>
      <c r="Y81" s="69"/>
      <c r="Z81" s="68"/>
      <c r="AA81" s="69"/>
      <c r="AB81" s="68"/>
      <c r="AC81" s="69"/>
      <c r="AD81" s="68"/>
      <c r="AE81" s="69"/>
      <c r="AF81" s="68"/>
      <c r="AG81" s="69"/>
      <c r="AH81" s="68"/>
      <c r="AI81" s="69"/>
      <c r="AJ81" s="68"/>
      <c r="AK81" s="69"/>
    </row>
    <row r="82" spans="1:37" ht="14.4">
      <c r="A82" s="67" t="s">
        <v>456</v>
      </c>
      <c r="B82" s="14" t="s">
        <v>457</v>
      </c>
      <c r="C82" s="14" t="s">
        <v>458</v>
      </c>
      <c r="D82" s="14" t="s">
        <v>459</v>
      </c>
      <c r="E82" s="4" t="s">
        <v>334</v>
      </c>
      <c r="F82" s="68"/>
      <c r="G82" s="69"/>
      <c r="H82" s="68"/>
      <c r="I82" s="69"/>
      <c r="J82" s="68">
        <v>2</v>
      </c>
      <c r="K82" s="69">
        <v>257</v>
      </c>
      <c r="L82" s="68">
        <v>1</v>
      </c>
      <c r="M82" s="69">
        <v>11</v>
      </c>
      <c r="N82" s="68"/>
      <c r="O82" s="69"/>
      <c r="P82" s="68"/>
      <c r="Q82" s="69"/>
      <c r="R82" s="68"/>
      <c r="S82" s="69"/>
      <c r="T82" s="68"/>
      <c r="U82" s="69"/>
      <c r="V82" s="68"/>
      <c r="W82" s="69"/>
      <c r="X82" s="68"/>
      <c r="Y82" s="69"/>
      <c r="Z82" s="68"/>
      <c r="AA82" s="69"/>
      <c r="AB82" s="68"/>
      <c r="AC82" s="69"/>
      <c r="AD82" s="68"/>
      <c r="AE82" s="69"/>
      <c r="AF82" s="68"/>
      <c r="AG82" s="69"/>
      <c r="AH82" s="68"/>
      <c r="AI82" s="69"/>
      <c r="AJ82" s="68"/>
      <c r="AK82" s="69"/>
    </row>
    <row r="83" spans="1:37" ht="14.4">
      <c r="A83" s="67" t="s">
        <v>456</v>
      </c>
      <c r="B83" s="14" t="s">
        <v>460</v>
      </c>
      <c r="C83" s="14" t="s">
        <v>461</v>
      </c>
      <c r="D83" s="14" t="s">
        <v>462</v>
      </c>
      <c r="E83" s="4" t="s">
        <v>339</v>
      </c>
      <c r="F83" s="68">
        <v>8</v>
      </c>
      <c r="G83" s="69">
        <v>1634</v>
      </c>
      <c r="H83" s="68">
        <v>2</v>
      </c>
      <c r="I83" s="69">
        <v>2019</v>
      </c>
      <c r="J83" s="68">
        <v>2</v>
      </c>
      <c r="K83" s="69">
        <v>501</v>
      </c>
      <c r="L83" s="68"/>
      <c r="M83" s="69"/>
      <c r="N83" s="68"/>
      <c r="O83" s="69"/>
      <c r="P83" s="68"/>
      <c r="Q83" s="69"/>
      <c r="R83" s="68"/>
      <c r="S83" s="69"/>
      <c r="T83" s="68"/>
      <c r="U83" s="69"/>
      <c r="V83" s="68"/>
      <c r="W83" s="69"/>
      <c r="X83" s="68"/>
      <c r="Y83" s="69"/>
      <c r="Z83" s="68"/>
      <c r="AA83" s="69"/>
      <c r="AB83" s="68"/>
      <c r="AC83" s="69"/>
      <c r="AD83" s="68"/>
      <c r="AE83" s="69"/>
      <c r="AF83" s="68"/>
      <c r="AG83" s="69"/>
      <c r="AH83" s="68"/>
      <c r="AI83" s="69"/>
      <c r="AJ83" s="68"/>
      <c r="AK83" s="69"/>
    </row>
    <row r="84" spans="1:37" ht="14.4">
      <c r="A84" s="67" t="s">
        <v>456</v>
      </c>
      <c r="B84" s="14" t="s">
        <v>460</v>
      </c>
      <c r="C84" s="14" t="s">
        <v>461</v>
      </c>
      <c r="D84" s="14" t="s">
        <v>463</v>
      </c>
      <c r="E84" s="4" t="s">
        <v>334</v>
      </c>
      <c r="F84" s="68"/>
      <c r="G84" s="69"/>
      <c r="H84" s="68"/>
      <c r="I84" s="69"/>
      <c r="J84" s="68">
        <v>9</v>
      </c>
      <c r="K84" s="69">
        <v>7588</v>
      </c>
      <c r="L84" s="68">
        <v>1</v>
      </c>
      <c r="M84" s="69">
        <v>107</v>
      </c>
      <c r="N84" s="68">
        <v>2</v>
      </c>
      <c r="O84" s="69">
        <v>96</v>
      </c>
      <c r="P84" s="68"/>
      <c r="Q84" s="69"/>
      <c r="R84" s="68"/>
      <c r="S84" s="69"/>
      <c r="T84" s="68"/>
      <c r="U84" s="69"/>
      <c r="V84" s="68"/>
      <c r="W84" s="69"/>
      <c r="X84" s="68"/>
      <c r="Y84" s="69"/>
      <c r="Z84" s="68"/>
      <c r="AA84" s="69"/>
      <c r="AB84" s="68"/>
      <c r="AC84" s="69"/>
      <c r="AD84" s="68"/>
      <c r="AE84" s="69"/>
      <c r="AF84" s="68"/>
      <c r="AG84" s="69"/>
      <c r="AH84" s="68"/>
      <c r="AI84" s="69"/>
      <c r="AJ84" s="68"/>
      <c r="AK84" s="69"/>
    </row>
    <row r="85" spans="1:37" ht="14.4">
      <c r="A85" s="67" t="s">
        <v>456</v>
      </c>
      <c r="B85" s="14" t="s">
        <v>460</v>
      </c>
      <c r="C85" s="14" t="s">
        <v>461</v>
      </c>
      <c r="D85" s="14" t="s">
        <v>464</v>
      </c>
      <c r="E85" s="4" t="s">
        <v>334</v>
      </c>
      <c r="F85" s="68">
        <v>3</v>
      </c>
      <c r="G85" s="69">
        <v>879</v>
      </c>
      <c r="H85" s="68">
        <v>4</v>
      </c>
      <c r="I85" s="69">
        <v>2282</v>
      </c>
      <c r="J85" s="68"/>
      <c r="K85" s="69"/>
      <c r="L85" s="68"/>
      <c r="M85" s="69"/>
      <c r="N85" s="68"/>
      <c r="O85" s="69"/>
      <c r="P85" s="68"/>
      <c r="Q85" s="69"/>
      <c r="R85" s="68"/>
      <c r="S85" s="69"/>
      <c r="T85" s="68"/>
      <c r="U85" s="69"/>
      <c r="V85" s="68"/>
      <c r="W85" s="69"/>
      <c r="X85" s="68"/>
      <c r="Y85" s="69"/>
      <c r="Z85" s="68"/>
      <c r="AA85" s="69"/>
      <c r="AB85" s="68"/>
      <c r="AC85" s="69"/>
      <c r="AD85" s="68"/>
      <c r="AE85" s="69"/>
      <c r="AF85" s="68"/>
      <c r="AG85" s="69"/>
      <c r="AH85" s="68"/>
      <c r="AI85" s="69"/>
      <c r="AJ85" s="68"/>
      <c r="AK85" s="69"/>
    </row>
    <row r="86" spans="1:37" ht="14.4">
      <c r="A86" s="67" t="s">
        <v>456</v>
      </c>
      <c r="B86" s="14" t="s">
        <v>460</v>
      </c>
      <c r="C86" s="14" t="s">
        <v>465</v>
      </c>
      <c r="D86" s="14" t="s">
        <v>466</v>
      </c>
      <c r="E86" s="4" t="s">
        <v>334</v>
      </c>
      <c r="F86" s="68">
        <v>1</v>
      </c>
      <c r="G86" s="69">
        <v>1428</v>
      </c>
      <c r="H86" s="68"/>
      <c r="I86" s="69"/>
      <c r="J86" s="68"/>
      <c r="K86" s="69"/>
      <c r="L86" s="68"/>
      <c r="M86" s="69"/>
      <c r="N86" s="68"/>
      <c r="O86" s="69"/>
      <c r="P86" s="68"/>
      <c r="Q86" s="69"/>
      <c r="R86" s="68"/>
      <c r="S86" s="69"/>
      <c r="T86" s="68"/>
      <c r="U86" s="69"/>
      <c r="V86" s="68"/>
      <c r="W86" s="69"/>
      <c r="X86" s="68"/>
      <c r="Y86" s="69"/>
      <c r="Z86" s="68"/>
      <c r="AA86" s="69"/>
      <c r="AB86" s="68"/>
      <c r="AC86" s="69"/>
      <c r="AD86" s="68"/>
      <c r="AE86" s="69"/>
      <c r="AF86" s="68"/>
      <c r="AG86" s="69"/>
      <c r="AH86" s="68"/>
      <c r="AI86" s="69"/>
      <c r="AJ86" s="68"/>
      <c r="AK86" s="69"/>
    </row>
    <row r="87" spans="1:37" ht="14.4">
      <c r="A87" s="67" t="s">
        <v>456</v>
      </c>
      <c r="B87" s="14" t="s">
        <v>460</v>
      </c>
      <c r="C87" s="14" t="s">
        <v>465</v>
      </c>
      <c r="D87" s="14" t="s">
        <v>467</v>
      </c>
      <c r="E87" s="4" t="s">
        <v>334</v>
      </c>
      <c r="F87" s="68">
        <v>11</v>
      </c>
      <c r="G87" s="69">
        <v>3686</v>
      </c>
      <c r="H87" s="68">
        <v>8</v>
      </c>
      <c r="I87" s="69">
        <v>3670</v>
      </c>
      <c r="J87" s="68">
        <v>10</v>
      </c>
      <c r="K87" s="69">
        <v>6151</v>
      </c>
      <c r="L87" s="68">
        <v>12</v>
      </c>
      <c r="M87" s="69">
        <v>89875</v>
      </c>
      <c r="N87" s="68"/>
      <c r="O87" s="69"/>
      <c r="P87" s="68"/>
      <c r="Q87" s="69"/>
      <c r="R87" s="68"/>
      <c r="S87" s="69"/>
      <c r="T87" s="68"/>
      <c r="U87" s="69"/>
      <c r="V87" s="68"/>
      <c r="W87" s="69"/>
      <c r="X87" s="68"/>
      <c r="Y87" s="69"/>
      <c r="Z87" s="68"/>
      <c r="AA87" s="69"/>
      <c r="AB87" s="68"/>
      <c r="AC87" s="69"/>
      <c r="AD87" s="68"/>
      <c r="AE87" s="69"/>
      <c r="AF87" s="68"/>
      <c r="AG87" s="69"/>
      <c r="AH87" s="68"/>
      <c r="AI87" s="69"/>
      <c r="AJ87" s="68"/>
      <c r="AK87" s="69"/>
    </row>
    <row r="88" spans="1:37" ht="14.4">
      <c r="A88" s="67" t="s">
        <v>456</v>
      </c>
      <c r="B88" s="14" t="s">
        <v>468</v>
      </c>
      <c r="C88" s="14" t="s">
        <v>469</v>
      </c>
      <c r="D88" s="14" t="s">
        <v>470</v>
      </c>
      <c r="E88" s="4" t="s">
        <v>334</v>
      </c>
      <c r="F88" s="68">
        <v>1</v>
      </c>
      <c r="G88" s="69">
        <v>143</v>
      </c>
      <c r="H88" s="68"/>
      <c r="I88" s="69"/>
      <c r="J88" s="68">
        <v>4</v>
      </c>
      <c r="K88" s="69">
        <v>3870</v>
      </c>
      <c r="L88" s="68">
        <v>3</v>
      </c>
      <c r="M88" s="69">
        <v>1769</v>
      </c>
      <c r="N88" s="68">
        <v>2</v>
      </c>
      <c r="O88" s="69">
        <v>1745</v>
      </c>
      <c r="P88" s="68"/>
      <c r="Q88" s="69"/>
      <c r="R88" s="68"/>
      <c r="S88" s="69"/>
      <c r="T88" s="68"/>
      <c r="U88" s="69"/>
      <c r="V88" s="68"/>
      <c r="W88" s="69"/>
      <c r="X88" s="68"/>
      <c r="Y88" s="69"/>
      <c r="Z88" s="68"/>
      <c r="AA88" s="69"/>
      <c r="AB88" s="68"/>
      <c r="AC88" s="69"/>
      <c r="AD88" s="68"/>
      <c r="AE88" s="69"/>
      <c r="AF88" s="68"/>
      <c r="AG88" s="69"/>
      <c r="AH88" s="68"/>
      <c r="AI88" s="69"/>
      <c r="AJ88" s="68"/>
      <c r="AK88" s="69"/>
    </row>
    <row r="89" spans="1:37" ht="14.4">
      <c r="A89" s="67" t="s">
        <v>456</v>
      </c>
      <c r="B89" s="14" t="s">
        <v>468</v>
      </c>
      <c r="C89" s="14" t="s">
        <v>469</v>
      </c>
      <c r="D89" s="14" t="s">
        <v>471</v>
      </c>
      <c r="E89" s="4" t="s">
        <v>334</v>
      </c>
      <c r="F89" s="68">
        <v>1</v>
      </c>
      <c r="G89" s="69">
        <v>160</v>
      </c>
      <c r="H89" s="68">
        <v>1</v>
      </c>
      <c r="I89" s="69">
        <v>1087</v>
      </c>
      <c r="J89" s="68">
        <v>2</v>
      </c>
      <c r="K89" s="69">
        <v>201</v>
      </c>
      <c r="L89" s="68"/>
      <c r="M89" s="69"/>
      <c r="N89" s="68"/>
      <c r="O89" s="69"/>
      <c r="P89" s="68"/>
      <c r="Q89" s="69"/>
      <c r="R89" s="68"/>
      <c r="S89" s="69"/>
      <c r="T89" s="68"/>
      <c r="U89" s="69"/>
      <c r="V89" s="68"/>
      <c r="W89" s="69"/>
      <c r="X89" s="68"/>
      <c r="Y89" s="69"/>
      <c r="Z89" s="68"/>
      <c r="AA89" s="69"/>
      <c r="AB89" s="68">
        <v>1</v>
      </c>
      <c r="AC89" s="69">
        <v>417</v>
      </c>
      <c r="AD89" s="68"/>
      <c r="AE89" s="69"/>
      <c r="AF89" s="68"/>
      <c r="AG89" s="69"/>
      <c r="AH89" s="68"/>
      <c r="AI89" s="69"/>
      <c r="AJ89" s="68"/>
      <c r="AK89" s="69"/>
    </row>
    <row r="90" spans="1:37" ht="14.4">
      <c r="A90" s="67" t="s">
        <v>456</v>
      </c>
      <c r="B90" s="14" t="s">
        <v>472</v>
      </c>
      <c r="C90" s="14" t="s">
        <v>473</v>
      </c>
      <c r="D90" s="14" t="s">
        <v>474</v>
      </c>
      <c r="E90" s="4" t="s">
        <v>334</v>
      </c>
      <c r="F90" s="68"/>
      <c r="G90" s="69"/>
      <c r="H90" s="68"/>
      <c r="I90" s="69"/>
      <c r="J90" s="68">
        <v>4</v>
      </c>
      <c r="K90" s="69">
        <v>1819</v>
      </c>
      <c r="L90" s="68"/>
      <c r="M90" s="69"/>
      <c r="N90" s="68"/>
      <c r="O90" s="69"/>
      <c r="P90" s="68"/>
      <c r="Q90" s="69"/>
      <c r="R90" s="68"/>
      <c r="S90" s="69"/>
      <c r="T90" s="68"/>
      <c r="U90" s="69"/>
      <c r="V90" s="68"/>
      <c r="W90" s="69"/>
      <c r="X90" s="68"/>
      <c r="Y90" s="69"/>
      <c r="Z90" s="68"/>
      <c r="AA90" s="69"/>
      <c r="AB90" s="68"/>
      <c r="AC90" s="69"/>
      <c r="AD90" s="68"/>
      <c r="AE90" s="69"/>
      <c r="AF90" s="68"/>
      <c r="AG90" s="69"/>
      <c r="AH90" s="68"/>
      <c r="AI90" s="69"/>
      <c r="AJ90" s="68"/>
      <c r="AK90" s="69"/>
    </row>
    <row r="91" spans="1:37" ht="14.4">
      <c r="A91" s="67" t="s">
        <v>456</v>
      </c>
      <c r="B91" s="14" t="s">
        <v>475</v>
      </c>
      <c r="C91" s="14" t="s">
        <v>476</v>
      </c>
      <c r="D91" s="14" t="s">
        <v>477</v>
      </c>
      <c r="E91" s="4" t="s">
        <v>334</v>
      </c>
      <c r="F91" s="68">
        <v>1</v>
      </c>
      <c r="G91" s="69">
        <v>276</v>
      </c>
      <c r="H91" s="68"/>
      <c r="I91" s="69"/>
      <c r="J91" s="68"/>
      <c r="K91" s="69"/>
      <c r="L91" s="68"/>
      <c r="M91" s="69"/>
      <c r="N91" s="68"/>
      <c r="O91" s="69"/>
      <c r="P91" s="68"/>
      <c r="Q91" s="69"/>
      <c r="R91" s="68"/>
      <c r="S91" s="69"/>
      <c r="T91" s="68"/>
      <c r="U91" s="69"/>
      <c r="V91" s="68"/>
      <c r="W91" s="69"/>
      <c r="X91" s="68"/>
      <c r="Y91" s="69"/>
      <c r="Z91" s="68"/>
      <c r="AA91" s="69"/>
      <c r="AB91" s="68"/>
      <c r="AC91" s="69"/>
      <c r="AD91" s="68"/>
      <c r="AE91" s="69"/>
      <c r="AF91" s="68"/>
      <c r="AG91" s="69"/>
      <c r="AH91" s="68"/>
      <c r="AI91" s="69"/>
      <c r="AJ91" s="68"/>
      <c r="AK91" s="69"/>
    </row>
    <row r="92" spans="1:37" ht="15" thickBot="1">
      <c r="A92" s="70" t="s">
        <v>456</v>
      </c>
      <c r="B92" s="71" t="s">
        <v>475</v>
      </c>
      <c r="C92" s="71" t="s">
        <v>476</v>
      </c>
      <c r="D92" s="71" t="s">
        <v>478</v>
      </c>
      <c r="E92" s="72" t="s">
        <v>334</v>
      </c>
      <c r="F92" s="73">
        <v>2</v>
      </c>
      <c r="G92" s="74">
        <v>513</v>
      </c>
      <c r="H92" s="73">
        <v>1</v>
      </c>
      <c r="I92" s="74">
        <v>2438</v>
      </c>
      <c r="J92" s="73">
        <v>10</v>
      </c>
      <c r="K92" s="74">
        <v>80354</v>
      </c>
      <c r="L92" s="73">
        <v>10</v>
      </c>
      <c r="M92" s="74">
        <v>12702</v>
      </c>
      <c r="N92" s="73"/>
      <c r="O92" s="74"/>
      <c r="P92" s="73"/>
      <c r="Q92" s="74"/>
      <c r="R92" s="73"/>
      <c r="S92" s="74"/>
      <c r="T92" s="73"/>
      <c r="U92" s="74"/>
      <c r="V92" s="73"/>
      <c r="W92" s="74"/>
      <c r="X92" s="73"/>
      <c r="Y92" s="74"/>
      <c r="Z92" s="73"/>
      <c r="AA92" s="74"/>
      <c r="AB92" s="73"/>
      <c r="AC92" s="74"/>
      <c r="AD92" s="73"/>
      <c r="AE92" s="74"/>
      <c r="AF92" s="73"/>
      <c r="AG92" s="74"/>
      <c r="AH92" s="73"/>
      <c r="AI92" s="74"/>
      <c r="AJ92" s="73"/>
      <c r="AK92" s="74"/>
    </row>
  </sheetData>
  <mergeCells count="6"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CEDC-C3A4-412C-BFBE-A750A6BD3706}">
  <dimension ref="A2:M2"/>
  <sheetViews>
    <sheetView workbookViewId="0">
      <selection activeCell="D2" sqref="D2"/>
    </sheetView>
  </sheetViews>
  <sheetFormatPr baseColWidth="10" defaultRowHeight="13.8"/>
  <cols>
    <col min="5" max="5" width="14.296875" customWidth="1"/>
    <col min="6" max="13" width="12.796875" customWidth="1"/>
  </cols>
  <sheetData>
    <row r="2" spans="1:13" s="75" customFormat="1">
      <c r="A2" s="76" t="s">
        <v>480</v>
      </c>
      <c r="B2" s="76" t="s">
        <v>481</v>
      </c>
      <c r="C2" s="76" t="s">
        <v>482</v>
      </c>
      <c r="D2" s="76" t="s">
        <v>483</v>
      </c>
      <c r="E2" s="77" t="s">
        <v>479</v>
      </c>
      <c r="F2" s="76" t="s">
        <v>295</v>
      </c>
      <c r="G2" s="76" t="s">
        <v>296</v>
      </c>
      <c r="H2" s="76" t="s">
        <v>297</v>
      </c>
      <c r="I2" s="76" t="s">
        <v>298</v>
      </c>
      <c r="J2" s="76" t="s">
        <v>299</v>
      </c>
      <c r="K2" s="76" t="s">
        <v>300</v>
      </c>
      <c r="L2" s="76" t="s">
        <v>301</v>
      </c>
      <c r="M2" s="76" t="s"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observations in situ</vt:lpstr>
      <vt:lpstr>prelevements-epifaune</vt:lpstr>
      <vt:lpstr>prelevements-rhodolithes</vt:lpstr>
      <vt:lpstr>ADNe-poissons</vt:lpstr>
      <vt:lpstr>Synthese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DETER</dc:creator>
  <cp:lastModifiedBy>Guilhem</cp:lastModifiedBy>
  <dcterms:created xsi:type="dcterms:W3CDTF">2026-06-09T15:52:54Z</dcterms:created>
  <dcterms:modified xsi:type="dcterms:W3CDTF">2026-09-22T15:21:58Z</dcterms:modified>
</cp:coreProperties>
</file>